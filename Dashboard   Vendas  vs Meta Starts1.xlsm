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squivo\Desktop\Starts  Treinamentos  e  Consultoria\Mentor  Henrique\Projeto 1 Excel VBA MBA  Ciencias  de  Dados\"/>
    </mc:Choice>
  </mc:AlternateContent>
  <xr:revisionPtr revIDLastSave="0" documentId="13_ncr:1_{BE66ADB0-E5BE-43FE-AC58-7E5721592F6F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Capa" sheetId="2" r:id="rId1"/>
    <sheet name="Base" sheetId="1" r:id="rId2"/>
    <sheet name="Cadastro" sheetId="5" r:id="rId3"/>
    <sheet name="Calculos" sheetId="3" r:id="rId4"/>
    <sheet name="Dashboard" sheetId="4" r:id="rId5"/>
  </sheets>
  <definedNames>
    <definedName name="SegmentaçãodeDados_Mês">#N/A</definedName>
    <definedName name="SegmentaçãodeDados_Região">#N/A</definedName>
  </definedNames>
  <calcPr calcId="191029"/>
  <pivotCaches>
    <pivotCache cacheId="5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" i="3" l="1"/>
  <c r="Q7" i="3"/>
  <c r="Q8" i="3"/>
  <c r="Q9" i="3"/>
  <c r="Q10" i="3"/>
  <c r="Q5" i="3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2" i="1"/>
  <c r="E26" i="1"/>
  <c r="E81" i="1"/>
  <c r="E80" i="1"/>
  <c r="E19" i="1"/>
  <c r="E131" i="1"/>
  <c r="E114" i="1"/>
  <c r="E5" i="1"/>
  <c r="E82" i="1"/>
  <c r="E118" i="1"/>
  <c r="E63" i="1"/>
  <c r="E31" i="1"/>
  <c r="E77" i="1"/>
  <c r="E105" i="1"/>
  <c r="E24" i="1"/>
  <c r="E149" i="1"/>
  <c r="E40" i="1"/>
  <c r="E32" i="1"/>
  <c r="E55" i="1"/>
  <c r="E56" i="1"/>
  <c r="E45" i="1"/>
  <c r="E33" i="1"/>
  <c r="E9" i="1"/>
  <c r="E34" i="1"/>
  <c r="E78" i="1"/>
  <c r="E148" i="1"/>
  <c r="E46" i="1"/>
  <c r="E66" i="1"/>
  <c r="E132" i="1"/>
  <c r="E72" i="1"/>
  <c r="E145" i="1"/>
  <c r="E10" i="1"/>
  <c r="E101" i="1"/>
  <c r="E73" i="1"/>
  <c r="E30" i="1"/>
  <c r="E100" i="1"/>
  <c r="E104" i="1"/>
  <c r="E35" i="1"/>
  <c r="E107" i="1"/>
  <c r="E123" i="1"/>
  <c r="E85" i="1"/>
  <c r="E13" i="1"/>
  <c r="E67" i="1"/>
  <c r="E146" i="1"/>
  <c r="E128" i="1"/>
  <c r="E150" i="1"/>
  <c r="E83" i="1"/>
  <c r="E87" i="1"/>
  <c r="E36" i="1"/>
  <c r="E96" i="1"/>
  <c r="E115" i="1"/>
  <c r="E74" i="1"/>
  <c r="E6" i="1"/>
  <c r="E54" i="1"/>
  <c r="E102" i="1"/>
  <c r="E121" i="1"/>
  <c r="E119" i="1"/>
  <c r="E86" i="1"/>
  <c r="E134" i="1"/>
  <c r="E20" i="1"/>
  <c r="E111" i="1"/>
  <c r="E43" i="1"/>
  <c r="E88" i="1"/>
  <c r="E147" i="1"/>
  <c r="E138" i="1"/>
  <c r="E144" i="1"/>
  <c r="E93" i="1"/>
  <c r="E60" i="1"/>
  <c r="E37" i="1"/>
  <c r="E117" i="1"/>
  <c r="E61" i="1"/>
  <c r="E59" i="1"/>
  <c r="E51" i="1"/>
  <c r="E14" i="1"/>
  <c r="E38" i="1"/>
  <c r="E39" i="1"/>
  <c r="E133" i="1"/>
  <c r="E151" i="1"/>
  <c r="E8" i="1"/>
  <c r="E124" i="1"/>
  <c r="E89" i="1"/>
  <c r="E116" i="1"/>
  <c r="E12" i="1"/>
  <c r="E71" i="1"/>
  <c r="E41" i="1"/>
  <c r="E125" i="1"/>
  <c r="E110" i="1"/>
  <c r="E79" i="1"/>
  <c r="E17" i="1"/>
  <c r="E64" i="1"/>
  <c r="E28" i="1"/>
  <c r="E139" i="1"/>
  <c r="E135" i="1"/>
  <c r="E18" i="1"/>
  <c r="E140" i="1"/>
  <c r="E62" i="1"/>
  <c r="E15" i="1"/>
  <c r="E42" i="1"/>
  <c r="E3" i="1"/>
  <c r="E112" i="1"/>
  <c r="E103" i="1"/>
  <c r="E52" i="1"/>
  <c r="E21" i="1"/>
  <c r="E98" i="1"/>
  <c r="E136" i="1"/>
  <c r="E99" i="1"/>
  <c r="E94" i="1"/>
  <c r="E91" i="1"/>
  <c r="E48" i="1"/>
  <c r="E129" i="1"/>
  <c r="E44" i="1"/>
  <c r="E141" i="1"/>
  <c r="E108" i="1"/>
  <c r="E143" i="1"/>
  <c r="E57" i="1"/>
  <c r="E75" i="1"/>
  <c r="E4" i="1"/>
  <c r="E76" i="1"/>
  <c r="E113" i="1"/>
  <c r="E126" i="1"/>
  <c r="E65" i="1"/>
  <c r="E92" i="1"/>
  <c r="E22" i="1"/>
  <c r="E137" i="1"/>
  <c r="E97" i="1"/>
  <c r="E142" i="1"/>
  <c r="E109" i="1"/>
  <c r="E90" i="1"/>
  <c r="E84" i="1"/>
  <c r="E58" i="1"/>
  <c r="E29" i="1"/>
  <c r="E122" i="1"/>
  <c r="E16" i="1"/>
  <c r="E49" i="1"/>
  <c r="E2" i="1"/>
  <c r="E23" i="1"/>
  <c r="E53" i="1"/>
  <c r="E130" i="1"/>
  <c r="E106" i="1"/>
  <c r="E69" i="1"/>
  <c r="E95" i="1"/>
  <c r="E7" i="1"/>
  <c r="E11" i="1"/>
  <c r="E68" i="1"/>
  <c r="E25" i="1"/>
  <c r="E50" i="1"/>
  <c r="E70" i="1"/>
  <c r="E127" i="1"/>
  <c r="E27" i="1"/>
  <c r="E120" i="1"/>
  <c r="E47" i="1"/>
  <c r="D26" i="1"/>
  <c r="D81" i="1"/>
  <c r="D80" i="1"/>
  <c r="D19" i="1"/>
  <c r="D131" i="1"/>
  <c r="D114" i="1"/>
  <c r="D5" i="1"/>
  <c r="D82" i="1"/>
  <c r="D118" i="1"/>
  <c r="D63" i="1"/>
  <c r="D31" i="1"/>
  <c r="D77" i="1"/>
  <c r="D105" i="1"/>
  <c r="D24" i="1"/>
  <c r="D149" i="1"/>
  <c r="D40" i="1"/>
  <c r="D32" i="1"/>
  <c r="D55" i="1"/>
  <c r="D56" i="1"/>
  <c r="D45" i="1"/>
  <c r="D33" i="1"/>
  <c r="D9" i="1"/>
  <c r="D34" i="1"/>
  <c r="D78" i="1"/>
  <c r="D148" i="1"/>
  <c r="D46" i="1"/>
  <c r="D66" i="1"/>
  <c r="D132" i="1"/>
  <c r="D72" i="1"/>
  <c r="D145" i="1"/>
  <c r="D10" i="1"/>
  <c r="D101" i="1"/>
  <c r="D73" i="1"/>
  <c r="D30" i="1"/>
  <c r="D100" i="1"/>
  <c r="D104" i="1"/>
  <c r="D35" i="1"/>
  <c r="D107" i="1"/>
  <c r="D123" i="1"/>
  <c r="D85" i="1"/>
  <c r="D13" i="1"/>
  <c r="D67" i="1"/>
  <c r="D146" i="1"/>
  <c r="D128" i="1"/>
  <c r="D150" i="1"/>
  <c r="D83" i="1"/>
  <c r="D87" i="1"/>
  <c r="D36" i="1"/>
  <c r="D96" i="1"/>
  <c r="D115" i="1"/>
  <c r="D74" i="1"/>
  <c r="D6" i="1"/>
  <c r="D54" i="1"/>
  <c r="D102" i="1"/>
  <c r="D121" i="1"/>
  <c r="D119" i="1"/>
  <c r="D86" i="1"/>
  <c r="D134" i="1"/>
  <c r="D20" i="1"/>
  <c r="D111" i="1"/>
  <c r="D43" i="1"/>
  <c r="D88" i="1"/>
  <c r="D147" i="1"/>
  <c r="D138" i="1"/>
  <c r="D144" i="1"/>
  <c r="D93" i="1"/>
  <c r="D60" i="1"/>
  <c r="D37" i="1"/>
  <c r="D117" i="1"/>
  <c r="D61" i="1"/>
  <c r="D59" i="1"/>
  <c r="D51" i="1"/>
  <c r="D14" i="1"/>
  <c r="D38" i="1"/>
  <c r="D39" i="1"/>
  <c r="D133" i="1"/>
  <c r="D151" i="1"/>
  <c r="D8" i="1"/>
  <c r="D124" i="1"/>
  <c r="D89" i="1"/>
  <c r="D116" i="1"/>
  <c r="D12" i="1"/>
  <c r="D71" i="1"/>
  <c r="D41" i="1"/>
  <c r="D125" i="1"/>
  <c r="D110" i="1"/>
  <c r="D79" i="1"/>
  <c r="D17" i="1"/>
  <c r="D64" i="1"/>
  <c r="D28" i="1"/>
  <c r="D139" i="1"/>
  <c r="D135" i="1"/>
  <c r="D18" i="1"/>
  <c r="D140" i="1"/>
  <c r="D62" i="1"/>
  <c r="D15" i="1"/>
  <c r="D42" i="1"/>
  <c r="D3" i="1"/>
  <c r="D112" i="1"/>
  <c r="D103" i="1"/>
  <c r="D52" i="1"/>
  <c r="D21" i="1"/>
  <c r="D98" i="1"/>
  <c r="D136" i="1"/>
  <c r="D99" i="1"/>
  <c r="D94" i="1"/>
  <c r="D91" i="1"/>
  <c r="D48" i="1"/>
  <c r="D129" i="1"/>
  <c r="D44" i="1"/>
  <c r="D141" i="1"/>
  <c r="D108" i="1"/>
  <c r="D143" i="1"/>
  <c r="D57" i="1"/>
  <c r="D75" i="1"/>
  <c r="D4" i="1"/>
  <c r="D76" i="1"/>
  <c r="D113" i="1"/>
  <c r="D126" i="1"/>
  <c r="D65" i="1"/>
  <c r="D92" i="1"/>
  <c r="D22" i="1"/>
  <c r="D137" i="1"/>
  <c r="D97" i="1"/>
  <c r="D142" i="1"/>
  <c r="D109" i="1"/>
  <c r="D90" i="1"/>
  <c r="D84" i="1"/>
  <c r="D58" i="1"/>
  <c r="D29" i="1"/>
  <c r="D122" i="1"/>
  <c r="D16" i="1"/>
  <c r="D49" i="1"/>
  <c r="D2" i="1"/>
  <c r="D23" i="1"/>
  <c r="D53" i="1"/>
  <c r="D130" i="1"/>
  <c r="D106" i="1"/>
  <c r="D69" i="1"/>
  <c r="D95" i="1"/>
  <c r="D7" i="1"/>
  <c r="D11" i="1"/>
  <c r="D68" i="1"/>
  <c r="D25" i="1"/>
  <c r="D50" i="1"/>
  <c r="D70" i="1"/>
  <c r="D127" i="1"/>
  <c r="D27" i="1"/>
  <c r="D120" i="1"/>
  <c r="D47" i="1"/>
  <c r="D2" i="5" a="1"/>
  <c r="D2" i="5" s="1"/>
  <c r="C2" i="5" a="1"/>
  <c r="C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<sst xmlns="http://schemas.openxmlformats.org/spreadsheetml/2006/main" count="349" uniqueCount="25">
  <si>
    <t>Data</t>
  </si>
  <si>
    <t>Vendedor</t>
  </si>
  <si>
    <t>Valor</t>
  </si>
  <si>
    <t>Região</t>
  </si>
  <si>
    <t>Carlos</t>
  </si>
  <si>
    <t>Ana</t>
  </si>
  <si>
    <t>Bruno</t>
  </si>
  <si>
    <t>Fernanda</t>
  </si>
  <si>
    <t>Eduardo</t>
  </si>
  <si>
    <t>Daniela</t>
  </si>
  <si>
    <t>Norte</t>
  </si>
  <si>
    <t>Centro-Oeste</t>
  </si>
  <si>
    <t>Oeste</t>
  </si>
  <si>
    <t>Leste</t>
  </si>
  <si>
    <t>Sul</t>
  </si>
  <si>
    <t>Cadastro</t>
  </si>
  <si>
    <t>Ano</t>
  </si>
  <si>
    <t>Mês</t>
  </si>
  <si>
    <t>Meta</t>
  </si>
  <si>
    <t>Estimado</t>
  </si>
  <si>
    <t>Calculos!A1</t>
  </si>
  <si>
    <t>Regiao</t>
  </si>
  <si>
    <t>Faturamento</t>
  </si>
  <si>
    <t>Soma de Estimado</t>
  </si>
  <si>
    <t>Qtde 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</si>
</sst>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8" formatCode="&quot;R$&quot;\ #,##0.00;[Red]\-&quot;R$&quot;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1F215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1" fillId="2" borderId="0" xfId="0" applyFont="1" applyFill="1"/>
    <xf numFmtId="8" fontId="0" fillId="0" borderId="0" xfId="0" applyNumberFormat="1"/>
    <xf numFmtId="0" fontId="0" fillId="0" borderId="0" xfId="0" applyNumberFormat="1"/>
    <xf numFmtId="0" fontId="4" fillId="0" borderId="0" xfId="1"/>
    <xf numFmtId="0" fontId="2" fillId="3" borderId="1" xfId="0" applyFont="1" applyFill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</cellXfs>
  <cellStyles count="2">
    <cellStyle name="Hiperlink" xfId="1" builtinId="8"/>
    <cellStyle name="Normal" xfId="0" builtinId="0"/>
  </cellStyles>
  <dxfs count="55">
    <dxf>
      <numFmt numFmtId="0" formatCode="General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0" formatCode="General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0" formatCode="General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0" formatCode="General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0" formatCode="General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0" formatCode="General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0" formatCode="General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font>
        <color theme="0"/>
      </font>
      <fill>
        <patternFill>
          <bgColor rgb="FF4F54D6"/>
        </patternFill>
      </fill>
    </dxf>
    <dxf>
      <numFmt numFmtId="12" formatCode="&quot;R$&quot;\ #,##0.00;[Red]\-&quot;R$&quot;\ #,##0.00"/>
    </dxf>
    <dxf>
      <numFmt numFmtId="0" formatCode="General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F215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</dxfs>
  <tableStyles count="2" defaultTableStyle="TableStyleMedium9" defaultPivotStyle="PivotStyleLight16">
    <tableStyle name="Estilo de Segmentação de Dados 1" pivot="0" table="0" count="4" xr9:uid="{2A59D217-B46D-4CE0-85CF-40A1C03FE8B7}">
      <tableStyleElement type="wholeTable" dxfId="41"/>
    </tableStyle>
    <tableStyle name="novo" pivot="0" count="0" xr9:uid="{B56451BA-2DFF-4B6B-B0DE-E78112660D73}"/>
  </tableStyles>
  <colors>
    <mruColors>
      <color rgb="FF8387E2"/>
      <color rgb="FF1F2155"/>
      <color rgb="FF4F54D6"/>
      <color rgb="FFFFFFFF"/>
    </mruColors>
  </colors>
  <extLst>
    <ext xmlns:x14="http://schemas.microsoft.com/office/spreadsheetml/2009/9/main" uri="{46F421CA-312F-682f-3DD2-61675219B42D}">
      <x14:dxfs count="3">
        <dxf>
          <fill>
            <patternFill>
              <bgColor rgb="FF8387E2"/>
            </patternFill>
          </fill>
        </dxf>
        <dxf>
          <fill>
            <patternFill>
              <bgColor rgb="FF1F2155"/>
            </patternFill>
          </fill>
        </dxf>
        <dxf>
          <fill>
            <patternFill>
              <bgColor rgb="FF8387E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NoData" dxfId="2"/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f</c:v>
          </c:tx>
          <c:spPr>
            <a:solidFill>
              <a:srgbClr val="8387E2"/>
            </a:solidFill>
            <a:ln>
              <a:noFill/>
            </a:ln>
            <a:effectLst/>
          </c:spPr>
          <c:invertIfNegative val="0"/>
          <c:cat>
            <c:strRef>
              <c:f>Calculos!$N$5:$N$10</c:f>
              <c:strCache>
                <c:ptCount val="6"/>
                <c:pt idx="0">
                  <c:v>Ana</c:v>
                </c:pt>
                <c:pt idx="1">
                  <c:v>Bruno</c:v>
                </c:pt>
                <c:pt idx="2">
                  <c:v>Carlos</c:v>
                </c:pt>
                <c:pt idx="3">
                  <c:v>Daniela</c:v>
                </c:pt>
                <c:pt idx="4">
                  <c:v>Eduardo</c:v>
                </c:pt>
                <c:pt idx="5">
                  <c:v>Fernanda</c:v>
                </c:pt>
              </c:strCache>
            </c:strRef>
          </c:cat>
          <c:val>
            <c:numRef>
              <c:f>Calculos!$O$5:$O$10</c:f>
              <c:numCache>
                <c:formatCode>"R$"#,##0.00_);[Red]\("R$"#,##0.00\)</c:formatCode>
                <c:ptCount val="6"/>
                <c:pt idx="0">
                  <c:v>121750.55999999998</c:v>
                </c:pt>
                <c:pt idx="1">
                  <c:v>136086.22</c:v>
                </c:pt>
                <c:pt idx="2">
                  <c:v>87620.510000000009</c:v>
                </c:pt>
                <c:pt idx="3">
                  <c:v>137311.09</c:v>
                </c:pt>
                <c:pt idx="4">
                  <c:v>140912.29000000004</c:v>
                </c:pt>
                <c:pt idx="5">
                  <c:v>154642.03999999998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9E-4652-A07C-208C3E8E7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0963231"/>
        <c:axId val="109553071"/>
      </c:barChart>
      <c:lineChart>
        <c:grouping val="standard"/>
        <c:varyColors val="0"/>
        <c:ser>
          <c:idx val="2"/>
          <c:order val="1"/>
          <c:tx>
            <c:v>m</c:v>
          </c:tx>
          <c:spPr>
            <a:ln w="28575" cap="rnd">
              <a:solidFill>
                <a:srgbClr val="1F2155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Calculos!$Q$5:$Q$10</c:f>
              <c:numCache>
                <c:formatCode>"R$"#,##0.00_);[Red]\("R$"#,##0.00\)</c:formatCode>
                <c:ptCount val="6"/>
                <c:pt idx="0">
                  <c:v>475000</c:v>
                </c:pt>
                <c:pt idx="1">
                  <c:v>625000</c:v>
                </c:pt>
                <c:pt idx="2">
                  <c:v>525000</c:v>
                </c:pt>
                <c:pt idx="3">
                  <c:v>749999.99999999988</c:v>
                </c:pt>
                <c:pt idx="4">
                  <c:v>625000</c:v>
                </c:pt>
                <c:pt idx="5">
                  <c:v>750000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9E-4652-A07C-208C3E8E7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62255"/>
        <c:axId val="740973791"/>
      </c:lineChart>
      <c:catAx>
        <c:axId val="740963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553071"/>
        <c:crosses val="autoZero"/>
        <c:auto val="1"/>
        <c:lblAlgn val="ctr"/>
        <c:lblOffset val="100"/>
        <c:noMultiLvlLbl val="0"/>
      </c:catAx>
      <c:valAx>
        <c:axId val="109553071"/>
        <c:scaling>
          <c:orientation val="minMax"/>
        </c:scaling>
        <c:delete val="0"/>
        <c:axPos val="l"/>
        <c:numFmt formatCode="#.##0&quot; mil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0963231"/>
        <c:crosses val="autoZero"/>
        <c:crossBetween val="between"/>
      </c:valAx>
      <c:valAx>
        <c:axId val="740973791"/>
        <c:scaling>
          <c:orientation val="minMax"/>
        </c:scaling>
        <c:delete val="0"/>
        <c:axPos val="r"/>
        <c:numFmt formatCode="#.##0&quot; mil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7562255"/>
        <c:crosses val="max"/>
        <c:crossBetween val="between"/>
      </c:valAx>
      <c:catAx>
        <c:axId val="757562255"/>
        <c:scaling>
          <c:orientation val="minMax"/>
        </c:scaling>
        <c:delete val="1"/>
        <c:axPos val="b"/>
        <c:majorTickMark val="out"/>
        <c:minorTickMark val="none"/>
        <c:tickLblPos val="nextTo"/>
        <c:crossAx val="740973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  Vendas  vs Meta Starts1.xlsm]Calculos!Tab_Faturamento_Vendedor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8387E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Calculos!$K$4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387E2"/>
            </a:solidFill>
            <a:ln>
              <a:noFill/>
            </a:ln>
            <a:effectLst/>
          </c:spPr>
          <c:invertIfNegative val="0"/>
          <c:cat>
            <c:strRef>
              <c:f>Calculos!$J$5:$J$10</c:f>
              <c:strCache>
                <c:ptCount val="6"/>
                <c:pt idx="0">
                  <c:v>Ana</c:v>
                </c:pt>
                <c:pt idx="1">
                  <c:v>Bruno</c:v>
                </c:pt>
                <c:pt idx="2">
                  <c:v>Carlos</c:v>
                </c:pt>
                <c:pt idx="3">
                  <c:v>Daniela</c:v>
                </c:pt>
                <c:pt idx="4">
                  <c:v>Eduardo</c:v>
                </c:pt>
                <c:pt idx="5">
                  <c:v>Fernanda</c:v>
                </c:pt>
              </c:strCache>
            </c:strRef>
          </c:cat>
          <c:val>
            <c:numRef>
              <c:f>Calculos!$K$5:$K$10</c:f>
              <c:numCache>
                <c:formatCode>"R$"#,##0.00_);[Red]\("R$"#,##0.00\)</c:formatCode>
                <c:ptCount val="6"/>
                <c:pt idx="0">
                  <c:v>121750.55999999998</c:v>
                </c:pt>
                <c:pt idx="1">
                  <c:v>136086.22</c:v>
                </c:pt>
                <c:pt idx="2">
                  <c:v>87620.510000000009</c:v>
                </c:pt>
                <c:pt idx="3">
                  <c:v>137311.09</c:v>
                </c:pt>
                <c:pt idx="4">
                  <c:v>140912.29000000004</c:v>
                </c:pt>
                <c:pt idx="5">
                  <c:v>154642.03999999998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F5-48C5-8177-34ED76CCB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5934783"/>
        <c:axId val="885922303"/>
      </c:barChart>
      <c:catAx>
        <c:axId val="885934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5922303"/>
        <c:crosses val="autoZero"/>
        <c:auto val="1"/>
        <c:lblAlgn val="ctr"/>
        <c:lblOffset val="100"/>
        <c:noMultiLvlLbl val="0"/>
      </c:catAx>
      <c:valAx>
        <c:axId val="885922303"/>
        <c:scaling>
          <c:orientation val="minMax"/>
        </c:scaling>
        <c:delete val="1"/>
        <c:axPos val="l"/>
        <c:numFmt formatCode="&quot;R$&quot;#,##0.00_);[Red]\(&quot;R$&quot;#,##0.00\)" sourceLinked="1"/>
        <c:majorTickMark val="none"/>
        <c:minorTickMark val="none"/>
        <c:tickLblPos val="nextTo"/>
        <c:crossAx val="885934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  Vendas  vs Meta Starts1.xlsm]Calculos!Tab_Rank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8387E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.##0&quot; mil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8387E2"/>
          </a:solidFill>
          <a:ln>
            <a:noFill/>
          </a:ln>
          <a:effectLst/>
        </c:spPr>
        <c:dLbl>
          <c:idx val="0"/>
          <c:numFmt formatCode="#.##0&quot; mil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8387E2"/>
          </a:solidFill>
          <a:ln>
            <a:noFill/>
          </a:ln>
          <a:effectLst/>
        </c:spPr>
        <c:dLbl>
          <c:idx val="0"/>
          <c:numFmt formatCode="#.##0&quot; mil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8387E2"/>
          </a:solidFill>
          <a:ln>
            <a:noFill/>
          </a:ln>
          <a:effectLst/>
        </c:spPr>
        <c:dLbl>
          <c:idx val="0"/>
          <c:numFmt formatCode="#.##0&quot; mil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Calculos!$H$19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387E2"/>
            </a:solidFill>
            <a:ln>
              <a:noFill/>
            </a:ln>
            <a:effectLst/>
          </c:spPr>
          <c:invertIfNegative val="0"/>
          <c:cat>
            <c:strRef>
              <c:f>Calculos!$G$20:$G$22</c:f>
              <c:strCache>
                <c:ptCount val="3"/>
                <c:pt idx="0">
                  <c:v>Daniela</c:v>
                </c:pt>
                <c:pt idx="1">
                  <c:v>Eduardo</c:v>
                </c:pt>
                <c:pt idx="2">
                  <c:v>Fernanda</c:v>
                </c:pt>
              </c:strCache>
            </c:strRef>
          </c:cat>
          <c:val>
            <c:numRef>
              <c:f>Calculos!$H$20:$H$22</c:f>
              <c:numCache>
                <c:formatCode>"R$"#,##0.00_);[Red]\("R$"#,##0.00\)</c:formatCode>
                <c:ptCount val="3"/>
                <c:pt idx="0">
                  <c:v>137311.09</c:v>
                </c:pt>
                <c:pt idx="1">
                  <c:v>140912.29000000004</c:v>
                </c:pt>
                <c:pt idx="2">
                  <c:v>154642.03999999998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3-4536-8C27-A273F79A6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57585775"/>
        <c:axId val="757586255"/>
      </c:barChart>
      <c:catAx>
        <c:axId val="7575857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7586255"/>
        <c:crosses val="autoZero"/>
        <c:auto val="1"/>
        <c:lblAlgn val="ctr"/>
        <c:lblOffset val="100"/>
        <c:noMultiLvlLbl val="0"/>
      </c:catAx>
      <c:valAx>
        <c:axId val="757586255"/>
        <c:scaling>
          <c:orientation val="minMax"/>
        </c:scaling>
        <c:delete val="1"/>
        <c:axPos val="b"/>
        <c:numFmt formatCode="&quot;R$&quot;#,##0.00_);[Red]\(&quot;R$&quot;#,##0.00\)" sourceLinked="1"/>
        <c:majorTickMark val="none"/>
        <c:minorTickMark val="none"/>
        <c:tickLblPos val="nextTo"/>
        <c:crossAx val="757585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  Vendas  vs Meta Starts1.xlsm]Calculos!Tab_Faturamento_Regiao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8387E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933942083962013"/>
          <c:y val="0.28949193376578858"/>
          <c:w val="0.51913779412625372"/>
          <c:h val="0.649269387937602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Calculos!$G$4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387E2"/>
            </a:solidFill>
            <a:ln>
              <a:noFill/>
            </a:ln>
            <a:effectLst/>
          </c:spPr>
          <c:invertIfNegative val="0"/>
          <c:cat>
            <c:strRef>
              <c:f>Calculos!$F$5:$F$9</c:f>
              <c:strCache>
                <c:ptCount val="5"/>
                <c:pt idx="0">
                  <c:v>Centro-Oeste</c:v>
                </c:pt>
                <c:pt idx="1">
                  <c:v>Norte</c:v>
                </c:pt>
                <c:pt idx="2">
                  <c:v>Sul</c:v>
                </c:pt>
                <c:pt idx="3">
                  <c:v>Leste</c:v>
                </c:pt>
                <c:pt idx="4">
                  <c:v>Oeste</c:v>
                </c:pt>
              </c:strCache>
            </c:strRef>
          </c:cat>
          <c:val>
            <c:numRef>
              <c:f>Calculos!$G$5:$G$9</c:f>
              <c:numCache>
                <c:formatCode>"R$"#,##0.00_);[Red]\("R$"#,##0.00\)</c:formatCode>
                <c:ptCount val="5"/>
                <c:pt idx="0">
                  <c:v>134782.1</c:v>
                </c:pt>
                <c:pt idx="1">
                  <c:v>140866.72000000003</c:v>
                </c:pt>
                <c:pt idx="2">
                  <c:v>142107.47</c:v>
                </c:pt>
                <c:pt idx="3">
                  <c:v>173779.01</c:v>
                </c:pt>
                <c:pt idx="4">
                  <c:v>186787.40999999997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1-4E8D-9E25-372E9FF5B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85948223"/>
        <c:axId val="885945823"/>
      </c:barChart>
      <c:catAx>
        <c:axId val="885948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5945823"/>
        <c:crosses val="autoZero"/>
        <c:auto val="1"/>
        <c:lblAlgn val="ctr"/>
        <c:lblOffset val="100"/>
        <c:noMultiLvlLbl val="0"/>
      </c:catAx>
      <c:valAx>
        <c:axId val="885945823"/>
        <c:scaling>
          <c:orientation val="minMax"/>
        </c:scaling>
        <c:delete val="1"/>
        <c:axPos val="b"/>
        <c:numFmt formatCode="&quot;R$&quot;#,##0.00_);[Red]\(&quot;R$&quot;#,##0.00\)" sourceLinked="1"/>
        <c:majorTickMark val="none"/>
        <c:minorTickMark val="none"/>
        <c:tickLblPos val="nextTo"/>
        <c:crossAx val="885948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  Vendas  vs Meta Starts1.xlsm]Calculos!Tab_Vendedor_Qtde_vendas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8387E2"/>
            </a:solidFill>
            <a:round/>
          </a:ln>
          <a:effectLst/>
        </c:spPr>
        <c:marker>
          <c:symbol val="diamond"/>
          <c:size val="5"/>
          <c:spPr>
            <a:solidFill>
              <a:schemeClr val="accent1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2860343539955192E-2"/>
          <c:y val="0.25405769932638034"/>
          <c:w val="0.89843166542195663"/>
          <c:h val="0.61497122235316559"/>
        </c:manualLayout>
      </c:layout>
      <c:lineChart>
        <c:grouping val="standard"/>
        <c:varyColors val="0"/>
        <c:ser>
          <c:idx val="0"/>
          <c:order val="0"/>
          <c:tx>
            <c:strRef>
              <c:f>Calculos!$K$13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8387E2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cat>
            <c:strRef>
              <c:f>Calculos!$J$14:$J$19</c:f>
              <c:strCache>
                <c:ptCount val="6"/>
                <c:pt idx="0">
                  <c:v>Ana</c:v>
                </c:pt>
                <c:pt idx="1">
                  <c:v>Bruno</c:v>
                </c:pt>
                <c:pt idx="2">
                  <c:v>Carlos</c:v>
                </c:pt>
                <c:pt idx="3">
                  <c:v>Daniela</c:v>
                </c:pt>
                <c:pt idx="4">
                  <c:v>Eduardo</c:v>
                </c:pt>
                <c:pt idx="5">
                  <c:v>Fernanda</c:v>
                </c:pt>
              </c:strCache>
            </c:strRef>
          </c:cat>
          <c:val>
            <c:numRef>
              <c:f>Calculos!$K$14:$K$19</c:f>
              <c:numCache>
                <c:formatCode>General</c:formatCode>
                <c:ptCount val="6"/>
                <c:pt idx="0">
                  <c:v>19</c:v>
                </c:pt>
                <c:pt idx="1">
                  <c:v>25</c:v>
                </c:pt>
                <c:pt idx="2">
                  <c:v>21</c:v>
                </c:pt>
                <c:pt idx="3">
                  <c:v>30</c:v>
                </c:pt>
                <c:pt idx="4">
                  <c:v>25</c:v>
                </c:pt>
                <c:pt idx="5">
                  <c:v>30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22C-4C42-A53D-A9C2176A0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5935743"/>
        <c:axId val="885941503"/>
      </c:lineChart>
      <c:catAx>
        <c:axId val="885935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5941503"/>
        <c:crosses val="autoZero"/>
        <c:auto val="1"/>
        <c:lblAlgn val="ctr"/>
        <c:lblOffset val="100"/>
        <c:noMultiLvlLbl val="0"/>
      </c:catAx>
      <c:valAx>
        <c:axId val="8859415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85935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alculos!A1"/><Relationship Id="rId2" Type="http://schemas.openxmlformats.org/officeDocument/2006/relationships/hyperlink" Target="#Cadastro!A1"/><Relationship Id="rId1" Type="http://schemas.openxmlformats.org/officeDocument/2006/relationships/hyperlink" Target="#Base!A1"/><Relationship Id="rId5" Type="http://schemas.openxmlformats.org/officeDocument/2006/relationships/image" Target="../media/image1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Calculos!A1"/><Relationship Id="rId1" Type="http://schemas.openxmlformats.org/officeDocument/2006/relationships/hyperlink" Target="#Cadastro!A1"/><Relationship Id="rId4" Type="http://schemas.openxmlformats.org/officeDocument/2006/relationships/hyperlink" Target="#Cap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Calculos!A1"/><Relationship Id="rId1" Type="http://schemas.openxmlformats.org/officeDocument/2006/relationships/hyperlink" Target="#Base!A1"/><Relationship Id="rId4" Type="http://schemas.openxmlformats.org/officeDocument/2006/relationships/hyperlink" Target="#Cap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Cadastro!A1"/><Relationship Id="rId1" Type="http://schemas.openxmlformats.org/officeDocument/2006/relationships/hyperlink" Target="#Base!A1"/><Relationship Id="rId4" Type="http://schemas.openxmlformats.org/officeDocument/2006/relationships/hyperlink" Target="#Capa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hyperlink" Target="#Calculos!A1"/><Relationship Id="rId7" Type="http://schemas.openxmlformats.org/officeDocument/2006/relationships/chart" Target="../charts/chart3.xml"/><Relationship Id="rId2" Type="http://schemas.openxmlformats.org/officeDocument/2006/relationships/hyperlink" Target="#Cadastro!A1"/><Relationship Id="rId1" Type="http://schemas.openxmlformats.org/officeDocument/2006/relationships/hyperlink" Target="#Base!A1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hyperlink" Target="#Capa!A1"/><Relationship Id="rId9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15875</xdr:rowOff>
    </xdr:from>
    <xdr:to>
      <xdr:col>3</xdr:col>
      <xdr:colOff>0</xdr:colOff>
      <xdr:row>30</xdr:row>
      <xdr:rowOff>174625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3CA2619-BDAF-2A9B-E8E2-83FC627255BC}"/>
            </a:ext>
          </a:extLst>
        </xdr:cNvPr>
        <xdr:cNvSpPr/>
      </xdr:nvSpPr>
      <xdr:spPr>
        <a:xfrm>
          <a:off x="142875" y="15875"/>
          <a:ext cx="1690688" cy="5873750"/>
        </a:xfrm>
        <a:prstGeom prst="roundRect">
          <a:avLst>
            <a:gd name="adj" fmla="val 10158"/>
          </a:avLst>
        </a:prstGeom>
        <a:solidFill>
          <a:srgbClr val="4F54D6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317501</xdr:colOff>
      <xdr:row>2</xdr:row>
      <xdr:rowOff>95251</xdr:rowOff>
    </xdr:from>
    <xdr:to>
      <xdr:col>2</xdr:col>
      <xdr:colOff>508000</xdr:colOff>
      <xdr:row>5</xdr:row>
      <xdr:rowOff>71438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6A2B28E8-BDD5-396E-981A-8C9401FABCE2}"/>
            </a:ext>
          </a:extLst>
        </xdr:cNvPr>
        <xdr:cNvGrpSpPr/>
      </xdr:nvGrpSpPr>
      <xdr:grpSpPr>
        <a:xfrm>
          <a:off x="317501" y="476251"/>
          <a:ext cx="1412874" cy="547687"/>
          <a:chOff x="285751" y="627063"/>
          <a:chExt cx="1412874" cy="547687"/>
        </a:xfrm>
      </xdr:grpSpPr>
      <xdr:sp macro="" textlink="">
        <xdr:nvSpPr>
          <xdr:cNvPr id="3" name="Retângulo: Cantos Arredondados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809CDEF-F92D-0850-C16F-1B8EB31D8A35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FB256B2-F5DD-B97B-0B83-8BA08E0868D8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Base</a:t>
            </a:r>
          </a:p>
        </xdr:txBody>
      </xdr:sp>
    </xdr:grpSp>
    <xdr:clientData/>
  </xdr:twoCellAnchor>
  <xdr:twoCellAnchor>
    <xdr:from>
      <xdr:col>0</xdr:col>
      <xdr:colOff>255589</xdr:colOff>
      <xdr:row>6</xdr:row>
      <xdr:rowOff>120651</xdr:rowOff>
    </xdr:from>
    <xdr:to>
      <xdr:col>2</xdr:col>
      <xdr:colOff>446088</xdr:colOff>
      <xdr:row>9</xdr:row>
      <xdr:rowOff>96838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E2D7C931-9FC6-250C-5BE8-86E2F13BA4D0}"/>
            </a:ext>
          </a:extLst>
        </xdr:cNvPr>
        <xdr:cNvGrpSpPr/>
      </xdr:nvGrpSpPr>
      <xdr:grpSpPr>
        <a:xfrm>
          <a:off x="255589" y="1263651"/>
          <a:ext cx="1412874" cy="547687"/>
          <a:chOff x="285751" y="627063"/>
          <a:chExt cx="1412874" cy="547687"/>
        </a:xfrm>
      </xdr:grpSpPr>
      <xdr:sp macro="" textlink="">
        <xdr:nvSpPr>
          <xdr:cNvPr id="10" name="Retângulo: Cantos Arredondados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0D616E6-E387-EB43-EF20-801C635332B2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6006373B-CFE9-1669-A5FB-59800943D690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</a:t>
            </a:r>
          </a:p>
        </xdr:txBody>
      </xdr:sp>
    </xdr:grpSp>
    <xdr:clientData/>
  </xdr:twoCellAnchor>
  <xdr:twoCellAnchor>
    <xdr:from>
      <xdr:col>0</xdr:col>
      <xdr:colOff>273052</xdr:colOff>
      <xdr:row>10</xdr:row>
      <xdr:rowOff>161926</xdr:rowOff>
    </xdr:from>
    <xdr:to>
      <xdr:col>2</xdr:col>
      <xdr:colOff>463551</xdr:colOff>
      <xdr:row>13</xdr:row>
      <xdr:rowOff>138113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D6606E6C-3787-8B0F-9A74-B7BBE826DAB8}"/>
            </a:ext>
          </a:extLst>
        </xdr:cNvPr>
        <xdr:cNvGrpSpPr/>
      </xdr:nvGrpSpPr>
      <xdr:grpSpPr>
        <a:xfrm>
          <a:off x="273052" y="2066926"/>
          <a:ext cx="1412874" cy="547687"/>
          <a:chOff x="285751" y="627063"/>
          <a:chExt cx="1412874" cy="547687"/>
        </a:xfrm>
      </xdr:grpSpPr>
      <xdr:sp macro="" textlink="">
        <xdr:nvSpPr>
          <xdr:cNvPr id="13" name="Retângulo: Cantos Arredondados 1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CDB21BB-EE40-1A50-3D3F-946A0E0B9B43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97513884-DCF4-80B1-2B98-BE3D8249B3B0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Calculos</a:t>
            </a:r>
          </a:p>
        </xdr:txBody>
      </xdr:sp>
    </xdr:grpSp>
    <xdr:clientData/>
  </xdr:twoCellAnchor>
  <xdr:twoCellAnchor>
    <xdr:from>
      <xdr:col>0</xdr:col>
      <xdr:colOff>250828</xdr:colOff>
      <xdr:row>14</xdr:row>
      <xdr:rowOff>147639</xdr:rowOff>
    </xdr:from>
    <xdr:to>
      <xdr:col>2</xdr:col>
      <xdr:colOff>441327</xdr:colOff>
      <xdr:row>17</xdr:row>
      <xdr:rowOff>123826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CE9BD664-F244-5654-5BFC-26E4FB9B58EB}"/>
            </a:ext>
          </a:extLst>
        </xdr:cNvPr>
        <xdr:cNvGrpSpPr/>
      </xdr:nvGrpSpPr>
      <xdr:grpSpPr>
        <a:xfrm>
          <a:off x="250828" y="2814639"/>
          <a:ext cx="1412874" cy="547687"/>
          <a:chOff x="333376" y="642938"/>
          <a:chExt cx="1412874" cy="547687"/>
        </a:xfrm>
      </xdr:grpSpPr>
      <xdr:sp macro="" textlink="">
        <xdr:nvSpPr>
          <xdr:cNvPr id="16" name="Retângulo: Cantos Arredondados 1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C5C6F629-F0E0-5B04-67D8-EEB8B156EC97}"/>
              </a:ext>
            </a:extLst>
          </xdr:cNvPr>
          <xdr:cNvSpPr/>
        </xdr:nvSpPr>
        <xdr:spPr>
          <a:xfrm>
            <a:off x="333376" y="642938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6BD1E785-4E1F-C424-5D74-0FDB1BF7FECB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Dashboard</a:t>
            </a:r>
          </a:p>
        </xdr:txBody>
      </xdr:sp>
    </xdr:grpSp>
    <xdr:clientData/>
  </xdr:twoCellAnchor>
  <xdr:twoCellAnchor>
    <xdr:from>
      <xdr:col>3</xdr:col>
      <xdr:colOff>134937</xdr:colOff>
      <xdr:row>0</xdr:row>
      <xdr:rowOff>95249</xdr:rowOff>
    </xdr:from>
    <xdr:to>
      <xdr:col>26</xdr:col>
      <xdr:colOff>15875</xdr:colOff>
      <xdr:row>31</xdr:row>
      <xdr:rowOff>87312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F7F799AF-9BFB-627F-F30A-FFA65DD64507}"/>
            </a:ext>
          </a:extLst>
        </xdr:cNvPr>
        <xdr:cNvSpPr/>
      </xdr:nvSpPr>
      <xdr:spPr>
        <a:xfrm>
          <a:off x="1968500" y="95249"/>
          <a:ext cx="13938250" cy="5897563"/>
        </a:xfrm>
        <a:prstGeom prst="roundRect">
          <a:avLst>
            <a:gd name="adj" fmla="val 6977"/>
          </a:avLst>
        </a:prstGeom>
        <a:solidFill>
          <a:srgbClr val="4F54D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200"/>
        </a:p>
      </xdr:txBody>
    </xdr:sp>
    <xdr:clientData/>
  </xdr:twoCellAnchor>
  <xdr:twoCellAnchor>
    <xdr:from>
      <xdr:col>5</xdr:col>
      <xdr:colOff>500062</xdr:colOff>
      <xdr:row>3</xdr:row>
      <xdr:rowOff>55563</xdr:rowOff>
    </xdr:from>
    <xdr:to>
      <xdr:col>23</xdr:col>
      <xdr:colOff>15875</xdr:colOff>
      <xdr:row>7</xdr:row>
      <xdr:rowOff>31750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8FCF3D34-B595-3B21-8D8D-D4F72A621EFD}"/>
            </a:ext>
          </a:extLst>
        </xdr:cNvPr>
        <xdr:cNvSpPr txBox="1"/>
      </xdr:nvSpPr>
      <xdr:spPr>
        <a:xfrm>
          <a:off x="3556000" y="627063"/>
          <a:ext cx="10517188" cy="738187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800" b="1">
              <a:solidFill>
                <a:schemeClr val="bg1"/>
              </a:solidFill>
              <a:latin typeface="Montserrat" panose="00000500000000000000" pitchFamily="2" charset="0"/>
            </a:rPr>
            <a:t>Starts</a:t>
          </a:r>
          <a:r>
            <a:rPr lang="pt-BR" sz="4800" b="1" baseline="0">
              <a:solidFill>
                <a:schemeClr val="bg1"/>
              </a:solidFill>
              <a:latin typeface="Montserrat" panose="00000500000000000000" pitchFamily="2" charset="0"/>
            </a:rPr>
            <a:t> Treinamentos</a:t>
          </a:r>
          <a:endParaRPr lang="pt-BR" sz="48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oneCell">
    <xdr:from>
      <xdr:col>10</xdr:col>
      <xdr:colOff>82548</xdr:colOff>
      <xdr:row>8</xdr:row>
      <xdr:rowOff>76502</xdr:rowOff>
    </xdr:from>
    <xdr:to>
      <xdr:col>17</xdr:col>
      <xdr:colOff>39687</xdr:colOff>
      <xdr:row>29</xdr:row>
      <xdr:rowOff>21922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ED38EB83-D994-B60A-2465-050742A57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3" y="1600502"/>
          <a:ext cx="4235452" cy="39459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1</xdr:row>
          <xdr:rowOff>57150</xdr:rowOff>
        </xdr:from>
        <xdr:to>
          <xdr:col>16</xdr:col>
          <xdr:colOff>457200</xdr:colOff>
          <xdr:row>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Ativar Zoom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523875</xdr:colOff>
          <xdr:row>4</xdr:row>
          <xdr:rowOff>171450</xdr:rowOff>
        </xdr:from>
        <xdr:to>
          <xdr:col>16</xdr:col>
          <xdr:colOff>552450</xdr:colOff>
          <xdr:row>8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Calculo Meta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23812</xdr:colOff>
      <xdr:row>0</xdr:row>
      <xdr:rowOff>0</xdr:rowOff>
    </xdr:from>
    <xdr:to>
      <xdr:col>0</xdr:col>
      <xdr:colOff>1714500</xdr:colOff>
      <xdr:row>30</xdr:row>
      <xdr:rowOff>158750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2D3D0E6-EDAC-4FDC-BE3E-4DA79D9C2C8F}"/>
            </a:ext>
          </a:extLst>
        </xdr:cNvPr>
        <xdr:cNvSpPr/>
      </xdr:nvSpPr>
      <xdr:spPr>
        <a:xfrm>
          <a:off x="23812" y="0"/>
          <a:ext cx="1690688" cy="5873750"/>
        </a:xfrm>
        <a:prstGeom prst="roundRect">
          <a:avLst>
            <a:gd name="adj" fmla="val 10158"/>
          </a:avLst>
        </a:prstGeom>
        <a:solidFill>
          <a:srgbClr val="4F54D6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174626</xdr:colOff>
      <xdr:row>2</xdr:row>
      <xdr:rowOff>79376</xdr:rowOff>
    </xdr:from>
    <xdr:to>
      <xdr:col>0</xdr:col>
      <xdr:colOff>1587500</xdr:colOff>
      <xdr:row>5</xdr:row>
      <xdr:rowOff>55563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55D9CE4-6993-48F8-803D-56D802B1CC79}"/>
            </a:ext>
          </a:extLst>
        </xdr:cNvPr>
        <xdr:cNvGrpSpPr/>
      </xdr:nvGrpSpPr>
      <xdr:grpSpPr>
        <a:xfrm>
          <a:off x="174626" y="460376"/>
          <a:ext cx="1412874" cy="547687"/>
          <a:chOff x="285751" y="627063"/>
          <a:chExt cx="1412874" cy="547687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AF6E199B-FA56-944D-298B-BD6379A6DBC8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8387E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41F13EA-9DA3-0802-E556-52D4E0A73EEB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Base</a:t>
            </a:r>
          </a:p>
        </xdr:txBody>
      </xdr:sp>
    </xdr:grpSp>
    <xdr:clientData/>
  </xdr:twoCellAnchor>
  <xdr:twoCellAnchor>
    <xdr:from>
      <xdr:col>0</xdr:col>
      <xdr:colOff>112714</xdr:colOff>
      <xdr:row>6</xdr:row>
      <xdr:rowOff>104776</xdr:rowOff>
    </xdr:from>
    <xdr:to>
      <xdr:col>0</xdr:col>
      <xdr:colOff>1525588</xdr:colOff>
      <xdr:row>9</xdr:row>
      <xdr:rowOff>80963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D5E9589-4582-45B6-A869-32E2E569D546}"/>
            </a:ext>
          </a:extLst>
        </xdr:cNvPr>
        <xdr:cNvGrpSpPr/>
      </xdr:nvGrpSpPr>
      <xdr:grpSpPr>
        <a:xfrm>
          <a:off x="112714" y="1247776"/>
          <a:ext cx="1412874" cy="547687"/>
          <a:chOff x="285751" y="627063"/>
          <a:chExt cx="1412874" cy="547687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E060505B-872D-2C90-C4F1-678944F9D94B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E46865D-F37A-E672-5619-4E207552F026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</a:t>
            </a:r>
          </a:p>
        </xdr:txBody>
      </xdr:sp>
    </xdr:grpSp>
    <xdr:clientData/>
  </xdr:twoCellAnchor>
  <xdr:twoCellAnchor>
    <xdr:from>
      <xdr:col>0</xdr:col>
      <xdr:colOff>130177</xdr:colOff>
      <xdr:row>10</xdr:row>
      <xdr:rowOff>146051</xdr:rowOff>
    </xdr:from>
    <xdr:to>
      <xdr:col>0</xdr:col>
      <xdr:colOff>1543051</xdr:colOff>
      <xdr:row>13</xdr:row>
      <xdr:rowOff>122238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5F8B122-CFF9-4306-90F6-0B613DB175EB}"/>
            </a:ext>
          </a:extLst>
        </xdr:cNvPr>
        <xdr:cNvGrpSpPr/>
      </xdr:nvGrpSpPr>
      <xdr:grpSpPr>
        <a:xfrm>
          <a:off x="130177" y="2051051"/>
          <a:ext cx="1412874" cy="547687"/>
          <a:chOff x="285751" y="627063"/>
          <a:chExt cx="1412874" cy="547687"/>
        </a:xfrm>
      </xdr:grpSpPr>
      <xdr:sp macro="" textlink="">
        <xdr:nvSpPr>
          <xdr:cNvPr id="10" name="Retângulo: Cantos Arredondados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051D447-FB8C-9496-D93C-C6D4D0B16A44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3115B26C-77F5-59BE-56CB-EA72A43ACE8A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Calculos</a:t>
            </a:r>
          </a:p>
        </xdr:txBody>
      </xdr:sp>
    </xdr:grpSp>
    <xdr:clientData/>
  </xdr:twoCellAnchor>
  <xdr:twoCellAnchor>
    <xdr:from>
      <xdr:col>0</xdr:col>
      <xdr:colOff>107953</xdr:colOff>
      <xdr:row>14</xdr:row>
      <xdr:rowOff>131764</xdr:rowOff>
    </xdr:from>
    <xdr:to>
      <xdr:col>0</xdr:col>
      <xdr:colOff>1520827</xdr:colOff>
      <xdr:row>17</xdr:row>
      <xdr:rowOff>107951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B87F0AED-DB7A-4869-BD30-6E63A9DCE98E}"/>
            </a:ext>
          </a:extLst>
        </xdr:cNvPr>
        <xdr:cNvGrpSpPr/>
      </xdr:nvGrpSpPr>
      <xdr:grpSpPr>
        <a:xfrm>
          <a:off x="107953" y="2798764"/>
          <a:ext cx="1412874" cy="547687"/>
          <a:chOff x="333376" y="642938"/>
          <a:chExt cx="1412874" cy="547687"/>
        </a:xfrm>
      </xdr:grpSpPr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44FDB4F-D92B-5477-FB50-18289346B89A}"/>
              </a:ext>
            </a:extLst>
          </xdr:cNvPr>
          <xdr:cNvSpPr/>
        </xdr:nvSpPr>
        <xdr:spPr>
          <a:xfrm>
            <a:off x="333376" y="642938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C07F030-494B-325A-5E7E-8E28DC31B8A5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Dashboard</a:t>
            </a:r>
          </a:p>
        </xdr:txBody>
      </xdr:sp>
    </xdr:grpSp>
    <xdr:clientData/>
  </xdr:twoCellAnchor>
  <xdr:twoCellAnchor>
    <xdr:from>
      <xdr:col>0</xdr:col>
      <xdr:colOff>173040</xdr:colOff>
      <xdr:row>18</xdr:row>
      <xdr:rowOff>53976</xdr:rowOff>
    </xdr:from>
    <xdr:to>
      <xdr:col>0</xdr:col>
      <xdr:colOff>1585914</xdr:colOff>
      <xdr:row>21</xdr:row>
      <xdr:rowOff>30163</xdr:rowOff>
    </xdr:to>
    <xdr:grpSp>
      <xdr:nvGrpSpPr>
        <xdr:cNvPr id="15" name="Agrupar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85A5C75-AB3A-0B02-1E07-E4A90AC65367}"/>
            </a:ext>
          </a:extLst>
        </xdr:cNvPr>
        <xdr:cNvGrpSpPr/>
      </xdr:nvGrpSpPr>
      <xdr:grpSpPr>
        <a:xfrm>
          <a:off x="173040" y="3482976"/>
          <a:ext cx="1412874" cy="547687"/>
          <a:chOff x="333376" y="642938"/>
          <a:chExt cx="1412874" cy="547687"/>
        </a:xfrm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1173819F-3C70-BB17-126D-568F6C2E0CF9}"/>
              </a:ext>
            </a:extLst>
          </xdr:cNvPr>
          <xdr:cNvSpPr/>
        </xdr:nvSpPr>
        <xdr:spPr>
          <a:xfrm>
            <a:off x="333376" y="642938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6B8201B9-A41A-2567-16E5-D3076C1400E5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Capa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1690688</xdr:colOff>
      <xdr:row>30</xdr:row>
      <xdr:rowOff>158750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768C67B-EAF1-43E7-A92A-1905B3046A8D}"/>
            </a:ext>
          </a:extLst>
        </xdr:cNvPr>
        <xdr:cNvSpPr/>
      </xdr:nvSpPr>
      <xdr:spPr>
        <a:xfrm>
          <a:off x="0" y="0"/>
          <a:ext cx="1690688" cy="5873750"/>
        </a:xfrm>
        <a:prstGeom prst="roundRect">
          <a:avLst>
            <a:gd name="adj" fmla="val 10158"/>
          </a:avLst>
        </a:prstGeom>
        <a:solidFill>
          <a:srgbClr val="4F54D6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174626</xdr:colOff>
      <xdr:row>2</xdr:row>
      <xdr:rowOff>79376</xdr:rowOff>
    </xdr:from>
    <xdr:to>
      <xdr:col>0</xdr:col>
      <xdr:colOff>1587500</xdr:colOff>
      <xdr:row>5</xdr:row>
      <xdr:rowOff>55563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9DD5583-BF4E-45FF-8B5F-72244E0A7330}"/>
            </a:ext>
          </a:extLst>
        </xdr:cNvPr>
        <xdr:cNvGrpSpPr/>
      </xdr:nvGrpSpPr>
      <xdr:grpSpPr>
        <a:xfrm>
          <a:off x="174626" y="460376"/>
          <a:ext cx="1412874" cy="547687"/>
          <a:chOff x="285751" y="627063"/>
          <a:chExt cx="1412874" cy="547687"/>
        </a:xfrm>
      </xdr:grpSpPr>
      <xdr:sp macro="" textlink="">
        <xdr:nvSpPr>
          <xdr:cNvPr id="4" name="Retângulo: Cantos Arredondado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59E8252-1398-291C-D968-8FE83B365A3C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8C88173D-8FD0-CE57-D931-BA266CE762C4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Base</a:t>
            </a:r>
          </a:p>
        </xdr:txBody>
      </xdr:sp>
    </xdr:grpSp>
    <xdr:clientData/>
  </xdr:twoCellAnchor>
  <xdr:twoCellAnchor>
    <xdr:from>
      <xdr:col>0</xdr:col>
      <xdr:colOff>112714</xdr:colOff>
      <xdr:row>6</xdr:row>
      <xdr:rowOff>104776</xdr:rowOff>
    </xdr:from>
    <xdr:to>
      <xdr:col>0</xdr:col>
      <xdr:colOff>1525588</xdr:colOff>
      <xdr:row>9</xdr:row>
      <xdr:rowOff>80963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AE58C57-BB83-49E9-B25F-5EC7096DDBE9}"/>
            </a:ext>
          </a:extLst>
        </xdr:cNvPr>
        <xdr:cNvGrpSpPr/>
      </xdr:nvGrpSpPr>
      <xdr:grpSpPr>
        <a:xfrm>
          <a:off x="112714" y="1247776"/>
          <a:ext cx="1412874" cy="547687"/>
          <a:chOff x="285751" y="627063"/>
          <a:chExt cx="1412874" cy="547687"/>
        </a:xfrm>
        <a:solidFill>
          <a:srgbClr val="8387E2"/>
        </a:solidFill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838346EF-C8B3-C283-02F2-1B9D1A422CFB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67BF071-CEFA-53F3-2D3B-21C02B9319C1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</a:t>
            </a:r>
          </a:p>
        </xdr:txBody>
      </xdr:sp>
    </xdr:grpSp>
    <xdr:clientData/>
  </xdr:twoCellAnchor>
  <xdr:twoCellAnchor>
    <xdr:from>
      <xdr:col>0</xdr:col>
      <xdr:colOff>130177</xdr:colOff>
      <xdr:row>10</xdr:row>
      <xdr:rowOff>146051</xdr:rowOff>
    </xdr:from>
    <xdr:to>
      <xdr:col>0</xdr:col>
      <xdr:colOff>1543051</xdr:colOff>
      <xdr:row>13</xdr:row>
      <xdr:rowOff>122238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4DF149EB-18B2-42F8-A727-1394E3FEFF92}"/>
            </a:ext>
          </a:extLst>
        </xdr:cNvPr>
        <xdr:cNvGrpSpPr/>
      </xdr:nvGrpSpPr>
      <xdr:grpSpPr>
        <a:xfrm>
          <a:off x="130177" y="2051051"/>
          <a:ext cx="1412874" cy="547687"/>
          <a:chOff x="285751" y="627063"/>
          <a:chExt cx="1412874" cy="547687"/>
        </a:xfrm>
      </xdr:grpSpPr>
      <xdr:sp macro="" textlink="">
        <xdr:nvSpPr>
          <xdr:cNvPr id="10" name="Retângulo: Cantos Arredondados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308893B-7A20-B7AA-BE51-72DB0BF69D5A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D2C4B38-25A0-F3FE-9D94-B6F498F7F88A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Calculos</a:t>
            </a:r>
          </a:p>
        </xdr:txBody>
      </xdr:sp>
    </xdr:grpSp>
    <xdr:clientData/>
  </xdr:twoCellAnchor>
  <xdr:twoCellAnchor>
    <xdr:from>
      <xdr:col>0</xdr:col>
      <xdr:colOff>107953</xdr:colOff>
      <xdr:row>14</xdr:row>
      <xdr:rowOff>131764</xdr:rowOff>
    </xdr:from>
    <xdr:to>
      <xdr:col>0</xdr:col>
      <xdr:colOff>1520827</xdr:colOff>
      <xdr:row>17</xdr:row>
      <xdr:rowOff>107951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87A7B0D-2DBC-4566-8F28-26CDC06E8A4B}"/>
            </a:ext>
          </a:extLst>
        </xdr:cNvPr>
        <xdr:cNvGrpSpPr/>
      </xdr:nvGrpSpPr>
      <xdr:grpSpPr>
        <a:xfrm>
          <a:off x="107953" y="2798764"/>
          <a:ext cx="1412874" cy="547687"/>
          <a:chOff x="333376" y="642938"/>
          <a:chExt cx="1412874" cy="547687"/>
        </a:xfrm>
      </xdr:grpSpPr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E8C550D9-E211-EF06-53F2-AA43FF10F274}"/>
              </a:ext>
            </a:extLst>
          </xdr:cNvPr>
          <xdr:cNvSpPr/>
        </xdr:nvSpPr>
        <xdr:spPr>
          <a:xfrm>
            <a:off x="333376" y="642938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15A4C6-9576-87C0-0B07-F5DF0D28FD41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Dashboard</a:t>
            </a:r>
          </a:p>
        </xdr:txBody>
      </xdr:sp>
    </xdr:grpSp>
    <xdr:clientData/>
  </xdr:twoCellAnchor>
  <xdr:twoCellAnchor>
    <xdr:from>
      <xdr:col>0</xdr:col>
      <xdr:colOff>77790</xdr:colOff>
      <xdr:row>18</xdr:row>
      <xdr:rowOff>61914</xdr:rowOff>
    </xdr:from>
    <xdr:to>
      <xdr:col>0</xdr:col>
      <xdr:colOff>1490664</xdr:colOff>
      <xdr:row>21</xdr:row>
      <xdr:rowOff>38101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B5188982-2123-1AAA-EB23-6D018A1CABC7}"/>
            </a:ext>
          </a:extLst>
        </xdr:cNvPr>
        <xdr:cNvGrpSpPr/>
      </xdr:nvGrpSpPr>
      <xdr:grpSpPr>
        <a:xfrm>
          <a:off x="77790" y="3490914"/>
          <a:ext cx="1412874" cy="547687"/>
          <a:chOff x="333376" y="642938"/>
          <a:chExt cx="1412874" cy="547687"/>
        </a:xfrm>
      </xdr:grpSpPr>
      <xdr:sp macro="" textlink="">
        <xdr:nvSpPr>
          <xdr:cNvPr id="16" name="Retângulo: Cantos Arredondados 1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DF0D016-AD2F-9923-981C-C6787E3E9BBE}"/>
              </a:ext>
            </a:extLst>
          </xdr:cNvPr>
          <xdr:cNvSpPr/>
        </xdr:nvSpPr>
        <xdr:spPr>
          <a:xfrm>
            <a:off x="333376" y="642938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0C12B57A-058A-8003-0E11-8A13A4750A98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Capa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468313</xdr:colOff>
      <xdr:row>30</xdr:row>
      <xdr:rowOff>158750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D2FE36D-5849-4856-96EC-55E5333C27A5}"/>
            </a:ext>
          </a:extLst>
        </xdr:cNvPr>
        <xdr:cNvSpPr/>
      </xdr:nvSpPr>
      <xdr:spPr>
        <a:xfrm>
          <a:off x="0" y="0"/>
          <a:ext cx="1690688" cy="5873750"/>
        </a:xfrm>
        <a:prstGeom prst="roundRect">
          <a:avLst>
            <a:gd name="adj" fmla="val 10158"/>
          </a:avLst>
        </a:prstGeom>
        <a:solidFill>
          <a:srgbClr val="4F54D6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174626</xdr:colOff>
      <xdr:row>2</xdr:row>
      <xdr:rowOff>79376</xdr:rowOff>
    </xdr:from>
    <xdr:to>
      <xdr:col>2</xdr:col>
      <xdr:colOff>365125</xdr:colOff>
      <xdr:row>5</xdr:row>
      <xdr:rowOff>55563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F22121D3-CF88-47C7-A06C-DD12D053103B}"/>
            </a:ext>
          </a:extLst>
        </xdr:cNvPr>
        <xdr:cNvGrpSpPr/>
      </xdr:nvGrpSpPr>
      <xdr:grpSpPr>
        <a:xfrm>
          <a:off x="174626" y="460376"/>
          <a:ext cx="1412874" cy="547687"/>
          <a:chOff x="285751" y="627063"/>
          <a:chExt cx="1412874" cy="547687"/>
        </a:xfrm>
      </xdr:grpSpPr>
      <xdr:sp macro="" textlink="">
        <xdr:nvSpPr>
          <xdr:cNvPr id="4" name="Retângulo: Cantos Arredondado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E5E374C-40C7-C8A2-66B6-6F277BA7171E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ECEFEEC4-C081-33E4-4467-78CB1A3684E6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Base</a:t>
            </a:r>
          </a:p>
        </xdr:txBody>
      </xdr:sp>
    </xdr:grpSp>
    <xdr:clientData/>
  </xdr:twoCellAnchor>
  <xdr:twoCellAnchor>
    <xdr:from>
      <xdr:col>0</xdr:col>
      <xdr:colOff>112714</xdr:colOff>
      <xdr:row>6</xdr:row>
      <xdr:rowOff>104776</xdr:rowOff>
    </xdr:from>
    <xdr:to>
      <xdr:col>2</xdr:col>
      <xdr:colOff>303213</xdr:colOff>
      <xdr:row>9</xdr:row>
      <xdr:rowOff>80963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FA1CAB4-BDD4-4026-B4E0-D87B86B7F293}"/>
            </a:ext>
          </a:extLst>
        </xdr:cNvPr>
        <xdr:cNvGrpSpPr/>
      </xdr:nvGrpSpPr>
      <xdr:grpSpPr>
        <a:xfrm>
          <a:off x="112714" y="1247776"/>
          <a:ext cx="1412874" cy="547687"/>
          <a:chOff x="285751" y="627063"/>
          <a:chExt cx="1412874" cy="547687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5AB11063-DAB8-8A8E-859F-F0F665097DCC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236DA78B-05EE-E980-EF3C-4DDB50F0A6AD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</a:t>
            </a:r>
          </a:p>
        </xdr:txBody>
      </xdr:sp>
    </xdr:grpSp>
    <xdr:clientData/>
  </xdr:twoCellAnchor>
  <xdr:twoCellAnchor>
    <xdr:from>
      <xdr:col>0</xdr:col>
      <xdr:colOff>130177</xdr:colOff>
      <xdr:row>10</xdr:row>
      <xdr:rowOff>146051</xdr:rowOff>
    </xdr:from>
    <xdr:to>
      <xdr:col>2</xdr:col>
      <xdr:colOff>320676</xdr:colOff>
      <xdr:row>13</xdr:row>
      <xdr:rowOff>122238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FC59194-3D2E-4225-B88D-C9C47D05E594}"/>
            </a:ext>
          </a:extLst>
        </xdr:cNvPr>
        <xdr:cNvGrpSpPr/>
      </xdr:nvGrpSpPr>
      <xdr:grpSpPr>
        <a:xfrm>
          <a:off x="130177" y="2051051"/>
          <a:ext cx="1412874" cy="547687"/>
          <a:chOff x="285751" y="627063"/>
          <a:chExt cx="1412874" cy="547687"/>
        </a:xfrm>
        <a:solidFill>
          <a:srgbClr val="8387E2"/>
        </a:solidFill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9072B354-346E-0271-66BF-BFB140B95067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C87D8659-1D91-EE22-E5F2-690B3C6B965C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Calculos</a:t>
            </a:r>
          </a:p>
        </xdr:txBody>
      </xdr:sp>
    </xdr:grpSp>
    <xdr:clientData/>
  </xdr:twoCellAnchor>
  <xdr:twoCellAnchor>
    <xdr:from>
      <xdr:col>0</xdr:col>
      <xdr:colOff>107953</xdr:colOff>
      <xdr:row>14</xdr:row>
      <xdr:rowOff>131764</xdr:rowOff>
    </xdr:from>
    <xdr:to>
      <xdr:col>2</xdr:col>
      <xdr:colOff>298452</xdr:colOff>
      <xdr:row>17</xdr:row>
      <xdr:rowOff>107951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FA6AF26-8C62-4B6B-B3F0-5BF46AC0BD82}"/>
            </a:ext>
          </a:extLst>
        </xdr:cNvPr>
        <xdr:cNvGrpSpPr/>
      </xdr:nvGrpSpPr>
      <xdr:grpSpPr>
        <a:xfrm>
          <a:off x="107953" y="2798764"/>
          <a:ext cx="1412874" cy="547687"/>
          <a:chOff x="333376" y="642938"/>
          <a:chExt cx="1412874" cy="547687"/>
        </a:xfrm>
      </xdr:grpSpPr>
      <xdr:sp macro="" textlink="">
        <xdr:nvSpPr>
          <xdr:cNvPr id="13" name="Retângulo: Cantos Arredondados 1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C9B60D4-DFCC-C309-9A01-510CBB0AC89C}"/>
              </a:ext>
            </a:extLst>
          </xdr:cNvPr>
          <xdr:cNvSpPr/>
        </xdr:nvSpPr>
        <xdr:spPr>
          <a:xfrm>
            <a:off x="333376" y="642938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A8390591-E1B0-4E01-3F23-784BEF6A035A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Dashboard</a:t>
            </a:r>
          </a:p>
        </xdr:txBody>
      </xdr:sp>
    </xdr:grpSp>
    <xdr:clientData/>
  </xdr:twoCellAnchor>
  <xdr:twoCellAnchor>
    <xdr:from>
      <xdr:col>0</xdr:col>
      <xdr:colOff>101603</xdr:colOff>
      <xdr:row>18</xdr:row>
      <xdr:rowOff>109539</xdr:rowOff>
    </xdr:from>
    <xdr:to>
      <xdr:col>2</xdr:col>
      <xdr:colOff>292102</xdr:colOff>
      <xdr:row>21</xdr:row>
      <xdr:rowOff>85726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CD90014D-5F00-5F90-78FE-E2CBD03F525A}"/>
            </a:ext>
          </a:extLst>
        </xdr:cNvPr>
        <xdr:cNvGrpSpPr/>
      </xdr:nvGrpSpPr>
      <xdr:grpSpPr>
        <a:xfrm>
          <a:off x="101603" y="3538539"/>
          <a:ext cx="1412874" cy="547687"/>
          <a:chOff x="333376" y="642938"/>
          <a:chExt cx="1412874" cy="547687"/>
        </a:xfrm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ACE1611C-46B7-8FC9-A279-975DC1A4D9BD}"/>
              </a:ext>
            </a:extLst>
          </xdr:cNvPr>
          <xdr:cNvSpPr/>
        </xdr:nvSpPr>
        <xdr:spPr>
          <a:xfrm>
            <a:off x="333376" y="642938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CaixaDeTexto 1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02E0D0E-72BA-D9D4-2300-B046CE3CF06B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Capa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468313</xdr:colOff>
      <xdr:row>30</xdr:row>
      <xdr:rowOff>158750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D96A3F1-0BF8-4C8F-A831-8DBD7618E524}"/>
            </a:ext>
          </a:extLst>
        </xdr:cNvPr>
        <xdr:cNvSpPr/>
      </xdr:nvSpPr>
      <xdr:spPr>
        <a:xfrm>
          <a:off x="0" y="0"/>
          <a:ext cx="1690688" cy="5873750"/>
        </a:xfrm>
        <a:prstGeom prst="roundRect">
          <a:avLst>
            <a:gd name="adj" fmla="val 10158"/>
          </a:avLst>
        </a:prstGeom>
        <a:solidFill>
          <a:srgbClr val="4F54D6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174626</xdr:colOff>
      <xdr:row>2</xdr:row>
      <xdr:rowOff>79376</xdr:rowOff>
    </xdr:from>
    <xdr:to>
      <xdr:col>2</xdr:col>
      <xdr:colOff>365125</xdr:colOff>
      <xdr:row>5</xdr:row>
      <xdr:rowOff>55563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B0DFB83D-E1F0-4B7E-ADC2-64C0B1555ABA}"/>
            </a:ext>
          </a:extLst>
        </xdr:cNvPr>
        <xdr:cNvGrpSpPr/>
      </xdr:nvGrpSpPr>
      <xdr:grpSpPr>
        <a:xfrm>
          <a:off x="174626" y="460376"/>
          <a:ext cx="1412874" cy="547687"/>
          <a:chOff x="285751" y="627063"/>
          <a:chExt cx="1412874" cy="547687"/>
        </a:xfrm>
      </xdr:grpSpPr>
      <xdr:sp macro="" textlink="">
        <xdr:nvSpPr>
          <xdr:cNvPr id="4" name="Retângulo: Cantos Arredondado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47F37B-D478-00B6-69B3-B6FE0CC9D4C7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44C712A5-4C5B-F2F4-7DC8-CE6D119FED30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Base</a:t>
            </a:r>
          </a:p>
        </xdr:txBody>
      </xdr:sp>
    </xdr:grpSp>
    <xdr:clientData/>
  </xdr:twoCellAnchor>
  <xdr:twoCellAnchor>
    <xdr:from>
      <xdr:col>0</xdr:col>
      <xdr:colOff>112714</xdr:colOff>
      <xdr:row>6</xdr:row>
      <xdr:rowOff>104776</xdr:rowOff>
    </xdr:from>
    <xdr:to>
      <xdr:col>2</xdr:col>
      <xdr:colOff>303213</xdr:colOff>
      <xdr:row>9</xdr:row>
      <xdr:rowOff>80963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46E0A10-1FD2-43A3-8ADA-EB88C687F468}"/>
            </a:ext>
          </a:extLst>
        </xdr:cNvPr>
        <xdr:cNvGrpSpPr/>
      </xdr:nvGrpSpPr>
      <xdr:grpSpPr>
        <a:xfrm>
          <a:off x="112714" y="1247776"/>
          <a:ext cx="1412874" cy="547687"/>
          <a:chOff x="285751" y="627063"/>
          <a:chExt cx="1412874" cy="547687"/>
        </a:xfrm>
      </xdr:grpSpPr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ED832-F0C3-DD92-8818-B78C7051987C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6DA347AA-1AB6-B2DB-6B9C-CB9CACB53AD5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</a:t>
            </a:r>
          </a:p>
        </xdr:txBody>
      </xdr:sp>
    </xdr:grpSp>
    <xdr:clientData/>
  </xdr:twoCellAnchor>
  <xdr:twoCellAnchor>
    <xdr:from>
      <xdr:col>0</xdr:col>
      <xdr:colOff>130177</xdr:colOff>
      <xdr:row>10</xdr:row>
      <xdr:rowOff>146051</xdr:rowOff>
    </xdr:from>
    <xdr:to>
      <xdr:col>2</xdr:col>
      <xdr:colOff>320676</xdr:colOff>
      <xdr:row>13</xdr:row>
      <xdr:rowOff>122238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0FD5A7A-7AE3-4478-9671-2F9FAF5E35F9}"/>
            </a:ext>
          </a:extLst>
        </xdr:cNvPr>
        <xdr:cNvGrpSpPr/>
      </xdr:nvGrpSpPr>
      <xdr:grpSpPr>
        <a:xfrm>
          <a:off x="130177" y="2051051"/>
          <a:ext cx="1412874" cy="547687"/>
          <a:chOff x="285751" y="627063"/>
          <a:chExt cx="1412874" cy="547687"/>
        </a:xfrm>
      </xdr:grpSpPr>
      <xdr:sp macro="" textlink="">
        <xdr:nvSpPr>
          <xdr:cNvPr id="10" name="Retângulo: Cantos Arredondados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4A3559E-9B5D-9E5D-A391-36A63AD633B3}"/>
              </a:ext>
            </a:extLst>
          </xdr:cNvPr>
          <xdr:cNvSpPr/>
        </xdr:nvSpPr>
        <xdr:spPr>
          <a:xfrm>
            <a:off x="285751" y="627063"/>
            <a:ext cx="1412874" cy="547687"/>
          </a:xfrm>
          <a:prstGeom prst="roundRect">
            <a:avLst/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160DA2CB-9C5A-7DF5-D6E5-6BFC315DD2D3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solidFill>
            <a:srgbClr val="1F2155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Calculos</a:t>
            </a:r>
          </a:p>
        </xdr:txBody>
      </xdr:sp>
    </xdr:grpSp>
    <xdr:clientData/>
  </xdr:twoCellAnchor>
  <xdr:twoCellAnchor>
    <xdr:from>
      <xdr:col>0</xdr:col>
      <xdr:colOff>107953</xdr:colOff>
      <xdr:row>14</xdr:row>
      <xdr:rowOff>131764</xdr:rowOff>
    </xdr:from>
    <xdr:to>
      <xdr:col>2</xdr:col>
      <xdr:colOff>298452</xdr:colOff>
      <xdr:row>17</xdr:row>
      <xdr:rowOff>107951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B4DC787E-337E-4A4B-8F79-C8C1116ABB6B}"/>
            </a:ext>
          </a:extLst>
        </xdr:cNvPr>
        <xdr:cNvGrpSpPr/>
      </xdr:nvGrpSpPr>
      <xdr:grpSpPr>
        <a:xfrm>
          <a:off x="107953" y="2798764"/>
          <a:ext cx="1412874" cy="547687"/>
          <a:chOff x="333376" y="642938"/>
          <a:chExt cx="1412874" cy="547687"/>
        </a:xfrm>
        <a:solidFill>
          <a:srgbClr val="8387E2"/>
        </a:solidFill>
      </xdr:grpSpPr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2F759401-DB4E-C64E-C92D-0BB5AB6F37A6}"/>
              </a:ext>
            </a:extLst>
          </xdr:cNvPr>
          <xdr:cNvSpPr/>
        </xdr:nvSpPr>
        <xdr:spPr>
          <a:xfrm>
            <a:off x="333376" y="642938"/>
            <a:ext cx="1412874" cy="547687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E1907A8-F973-6595-6746-35959E9179F5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solidFill>
            <a:srgbClr val="8387E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Dashboard</a:t>
            </a:r>
          </a:p>
        </xdr:txBody>
      </xdr:sp>
    </xdr:grpSp>
    <xdr:clientData/>
  </xdr:twoCellAnchor>
  <xdr:twoCellAnchor>
    <xdr:from>
      <xdr:col>0</xdr:col>
      <xdr:colOff>117478</xdr:colOff>
      <xdr:row>18</xdr:row>
      <xdr:rowOff>61914</xdr:rowOff>
    </xdr:from>
    <xdr:to>
      <xdr:col>2</xdr:col>
      <xdr:colOff>307977</xdr:colOff>
      <xdr:row>21</xdr:row>
      <xdr:rowOff>38101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6D8A2D1-2B0B-2C04-EB2E-0279E866DFA1}"/>
            </a:ext>
          </a:extLst>
        </xdr:cNvPr>
        <xdr:cNvGrpSpPr/>
      </xdr:nvGrpSpPr>
      <xdr:grpSpPr>
        <a:xfrm>
          <a:off x="117478" y="3490914"/>
          <a:ext cx="1412874" cy="547687"/>
          <a:chOff x="333376" y="642938"/>
          <a:chExt cx="1412874" cy="547687"/>
        </a:xfrm>
        <a:solidFill>
          <a:srgbClr val="1F2155"/>
        </a:solidFill>
      </xdr:grpSpPr>
      <xdr:sp macro="" textlink="">
        <xdr:nvSpPr>
          <xdr:cNvPr id="17" name="Retângulo: Cantos Arredondados 1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69722F6-82DD-218A-431A-22A1C484061F}"/>
              </a:ext>
            </a:extLst>
          </xdr:cNvPr>
          <xdr:cNvSpPr/>
        </xdr:nvSpPr>
        <xdr:spPr>
          <a:xfrm>
            <a:off x="333376" y="642938"/>
            <a:ext cx="1412874" cy="547687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93FA0AD-0E0D-4E69-A4B5-DD888F270992}"/>
              </a:ext>
            </a:extLst>
          </xdr:cNvPr>
          <xdr:cNvSpPr txBox="1"/>
        </xdr:nvSpPr>
        <xdr:spPr>
          <a:xfrm>
            <a:off x="373063" y="730250"/>
            <a:ext cx="1230312" cy="26987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Capa</a:t>
            </a:r>
          </a:p>
        </xdr:txBody>
      </xdr:sp>
    </xdr:grpSp>
    <xdr:clientData/>
  </xdr:twoCellAnchor>
  <xdr:twoCellAnchor>
    <xdr:from>
      <xdr:col>3</xdr:col>
      <xdr:colOff>23814</xdr:colOff>
      <xdr:row>4</xdr:row>
      <xdr:rowOff>182563</xdr:rowOff>
    </xdr:from>
    <xdr:to>
      <xdr:col>5</xdr:col>
      <xdr:colOff>174625</xdr:colOff>
      <xdr:row>31</xdr:row>
      <xdr:rowOff>31751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A797244B-3731-4275-8345-06205DE97FB4}"/>
            </a:ext>
          </a:extLst>
        </xdr:cNvPr>
        <xdr:cNvSpPr/>
      </xdr:nvSpPr>
      <xdr:spPr>
        <a:xfrm>
          <a:off x="1857377" y="944563"/>
          <a:ext cx="1373186" cy="4992688"/>
        </a:xfrm>
        <a:prstGeom prst="roundRect">
          <a:avLst>
            <a:gd name="adj" fmla="val 11007"/>
          </a:avLst>
        </a:prstGeom>
        <a:solidFill>
          <a:srgbClr val="4F54D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33338</xdr:colOff>
      <xdr:row>0</xdr:row>
      <xdr:rowOff>41276</xdr:rowOff>
    </xdr:from>
    <xdr:to>
      <xdr:col>26</xdr:col>
      <xdr:colOff>31749</xdr:colOff>
      <xdr:row>4</xdr:row>
      <xdr:rowOff>7938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7E6F932F-3D2F-4AE2-7CE8-A592144786EA}"/>
            </a:ext>
          </a:extLst>
        </xdr:cNvPr>
        <xdr:cNvSpPr/>
      </xdr:nvSpPr>
      <xdr:spPr>
        <a:xfrm rot="5400000">
          <a:off x="8530432" y="-6622255"/>
          <a:ext cx="728662" cy="14055723"/>
        </a:xfrm>
        <a:prstGeom prst="roundRect">
          <a:avLst>
            <a:gd name="adj" fmla="val 11007"/>
          </a:avLst>
        </a:prstGeom>
        <a:solidFill>
          <a:srgbClr val="4F54D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103187</xdr:colOff>
      <xdr:row>7</xdr:row>
      <xdr:rowOff>15875</xdr:rowOff>
    </xdr:from>
    <xdr:to>
      <xdr:col>5</xdr:col>
      <xdr:colOff>166688</xdr:colOff>
      <xdr:row>13</xdr:row>
      <xdr:rowOff>119062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2" name="Mês">
              <a:extLst>
                <a:ext uri="{FF2B5EF4-FFF2-40B4-BE49-F238E27FC236}">
                  <a16:creationId xmlns:a16="http://schemas.microsoft.com/office/drawing/2014/main" id="{DF71BE27-E2C6-4826-958D-7AA136AE0D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6750" y="1349375"/>
              <a:ext cx="1285876" cy="12461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39689</xdr:colOff>
      <xdr:row>16</xdr:row>
      <xdr:rowOff>95251</xdr:rowOff>
    </xdr:from>
    <xdr:to>
      <xdr:col>5</xdr:col>
      <xdr:colOff>111126</xdr:colOff>
      <xdr:row>25</xdr:row>
      <xdr:rowOff>142876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3" name="Região">
              <a:extLst>
                <a:ext uri="{FF2B5EF4-FFF2-40B4-BE49-F238E27FC236}">
                  <a16:creationId xmlns:a16="http://schemas.microsoft.com/office/drawing/2014/main" id="{C805A419-E98B-4F48-B9DB-EF56DF53755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ã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3252" y="3143251"/>
              <a:ext cx="1293812" cy="1762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261937</xdr:colOff>
      <xdr:row>4</xdr:row>
      <xdr:rowOff>23812</xdr:rowOff>
    </xdr:from>
    <xdr:to>
      <xdr:col>26</xdr:col>
      <xdr:colOff>134937</xdr:colOff>
      <xdr:row>31</xdr:row>
      <xdr:rowOff>95250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FF57EA0-A18D-41E9-84D5-7E992BD3140A}"/>
            </a:ext>
          </a:extLst>
        </xdr:cNvPr>
        <xdr:cNvSpPr/>
      </xdr:nvSpPr>
      <xdr:spPr>
        <a:xfrm rot="5400000">
          <a:off x="7064375" y="-2960688"/>
          <a:ext cx="5214938" cy="12707937"/>
        </a:xfrm>
        <a:prstGeom prst="roundRect">
          <a:avLst>
            <a:gd name="adj" fmla="val 4919"/>
          </a:avLst>
        </a:prstGeom>
        <a:solidFill>
          <a:srgbClr val="8387E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412749</xdr:colOff>
      <xdr:row>4</xdr:row>
      <xdr:rowOff>176212</xdr:rowOff>
    </xdr:from>
    <xdr:to>
      <xdr:col>21</xdr:col>
      <xdr:colOff>57149</xdr:colOff>
      <xdr:row>17</xdr:row>
      <xdr:rowOff>158750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503507C0-9543-5E35-73CC-83D89B6A6B6E}"/>
            </a:ext>
          </a:extLst>
        </xdr:cNvPr>
        <xdr:cNvGrpSpPr/>
      </xdr:nvGrpSpPr>
      <xdr:grpSpPr>
        <a:xfrm>
          <a:off x="3468687" y="938212"/>
          <a:ext cx="9423400" cy="2459038"/>
          <a:chOff x="3484562" y="874712"/>
          <a:chExt cx="9423400" cy="2316163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E6624088-5C32-ADA2-CDA8-55EE709CF868}"/>
              </a:ext>
            </a:extLst>
          </xdr:cNvPr>
          <xdr:cNvSpPr/>
        </xdr:nvSpPr>
        <xdr:spPr>
          <a:xfrm>
            <a:off x="3484562" y="936625"/>
            <a:ext cx="9413875" cy="2254250"/>
          </a:xfrm>
          <a:prstGeom prst="roundRect">
            <a:avLst>
              <a:gd name="adj" fmla="val 12298"/>
            </a:avLst>
          </a:prstGeom>
          <a:solidFill>
            <a:srgbClr val="4F54D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D982C00-517E-0938-ECE4-632699328916}"/>
              </a:ext>
            </a:extLst>
          </xdr:cNvPr>
          <xdr:cNvSpPr/>
        </xdr:nvSpPr>
        <xdr:spPr>
          <a:xfrm>
            <a:off x="3494087" y="874712"/>
            <a:ext cx="9413875" cy="577851"/>
          </a:xfrm>
          <a:prstGeom prst="roundRect">
            <a:avLst>
              <a:gd name="adj" fmla="val 12298"/>
            </a:avLst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21</xdr:col>
      <xdr:colOff>166687</xdr:colOff>
      <xdr:row>4</xdr:row>
      <xdr:rowOff>146050</xdr:rowOff>
    </xdr:from>
    <xdr:to>
      <xdr:col>26</xdr:col>
      <xdr:colOff>42862</xdr:colOff>
      <xdr:row>17</xdr:row>
      <xdr:rowOff>134938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589E5FA-29B1-12F2-6462-D1F74E6DFACB}"/>
            </a:ext>
          </a:extLst>
        </xdr:cNvPr>
        <xdr:cNvGrpSpPr/>
      </xdr:nvGrpSpPr>
      <xdr:grpSpPr>
        <a:xfrm>
          <a:off x="13001625" y="908050"/>
          <a:ext cx="2932112" cy="2465388"/>
          <a:chOff x="3484562" y="874712"/>
          <a:chExt cx="9423400" cy="2316163"/>
        </a:xfrm>
      </xdr:grpSpPr>
      <xdr:sp macro="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9B549560-504C-3DEE-79E4-FE0498315D2D}"/>
              </a:ext>
            </a:extLst>
          </xdr:cNvPr>
          <xdr:cNvSpPr/>
        </xdr:nvSpPr>
        <xdr:spPr>
          <a:xfrm>
            <a:off x="3484562" y="936625"/>
            <a:ext cx="9413875" cy="2254250"/>
          </a:xfrm>
          <a:prstGeom prst="roundRect">
            <a:avLst>
              <a:gd name="adj" fmla="val 12298"/>
            </a:avLst>
          </a:prstGeom>
          <a:solidFill>
            <a:srgbClr val="4F54D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5C8445B-F2D4-2B8F-846B-883734A746F7}"/>
              </a:ext>
            </a:extLst>
          </xdr:cNvPr>
          <xdr:cNvSpPr/>
        </xdr:nvSpPr>
        <xdr:spPr>
          <a:xfrm>
            <a:off x="3494087" y="874712"/>
            <a:ext cx="9413875" cy="577851"/>
          </a:xfrm>
          <a:prstGeom prst="roundRect">
            <a:avLst>
              <a:gd name="adj" fmla="val 12298"/>
            </a:avLst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5</xdr:col>
      <xdr:colOff>382587</xdr:colOff>
      <xdr:row>18</xdr:row>
      <xdr:rowOff>114299</xdr:rowOff>
    </xdr:from>
    <xdr:to>
      <xdr:col>13</xdr:col>
      <xdr:colOff>460375</xdr:colOff>
      <xdr:row>30</xdr:row>
      <xdr:rowOff>144462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CAA4D99-FE80-EB64-1FB6-6BF7042CF9DB}"/>
            </a:ext>
          </a:extLst>
        </xdr:cNvPr>
        <xdr:cNvGrpSpPr/>
      </xdr:nvGrpSpPr>
      <xdr:grpSpPr>
        <a:xfrm>
          <a:off x="3438525" y="3543299"/>
          <a:ext cx="4967288" cy="2316163"/>
          <a:chOff x="3484562" y="874712"/>
          <a:chExt cx="9423400" cy="2316163"/>
        </a:xfrm>
      </xdr:grpSpPr>
      <xdr:sp macro="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D644381F-E10D-1D4F-9A22-D71D31B9850A}"/>
              </a:ext>
            </a:extLst>
          </xdr:cNvPr>
          <xdr:cNvSpPr/>
        </xdr:nvSpPr>
        <xdr:spPr>
          <a:xfrm>
            <a:off x="3484562" y="936625"/>
            <a:ext cx="9413875" cy="2254250"/>
          </a:xfrm>
          <a:prstGeom prst="roundRect">
            <a:avLst>
              <a:gd name="adj" fmla="val 12298"/>
            </a:avLst>
          </a:prstGeom>
          <a:solidFill>
            <a:srgbClr val="4F54D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1641D26E-873C-2834-4EEF-39756958D444}"/>
              </a:ext>
            </a:extLst>
          </xdr:cNvPr>
          <xdr:cNvSpPr/>
        </xdr:nvSpPr>
        <xdr:spPr>
          <a:xfrm>
            <a:off x="3494087" y="874712"/>
            <a:ext cx="9413875" cy="577851"/>
          </a:xfrm>
          <a:prstGeom prst="roundRect">
            <a:avLst>
              <a:gd name="adj" fmla="val 12298"/>
            </a:avLst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21</xdr:col>
      <xdr:colOff>192087</xdr:colOff>
      <xdr:row>18</xdr:row>
      <xdr:rowOff>92075</xdr:rowOff>
    </xdr:from>
    <xdr:to>
      <xdr:col>26</xdr:col>
      <xdr:colOff>68262</xdr:colOff>
      <xdr:row>30</xdr:row>
      <xdr:rowOff>122238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801F8B63-FA2F-8155-BB5B-0C4CBB6E58F8}"/>
            </a:ext>
          </a:extLst>
        </xdr:cNvPr>
        <xdr:cNvGrpSpPr/>
      </xdr:nvGrpSpPr>
      <xdr:grpSpPr>
        <a:xfrm>
          <a:off x="13027025" y="3521075"/>
          <a:ext cx="2932112" cy="2316163"/>
          <a:chOff x="3484562" y="874712"/>
          <a:chExt cx="9423400" cy="2316163"/>
        </a:xfrm>
      </xdr:grpSpPr>
      <xdr:sp macro="" textlink="">
        <xdr:nvSpPr>
          <xdr:cNvPr id="35" name="Retângulo: Cantos Arredondados 34">
            <a:extLst>
              <a:ext uri="{FF2B5EF4-FFF2-40B4-BE49-F238E27FC236}">
                <a16:creationId xmlns:a16="http://schemas.microsoft.com/office/drawing/2014/main" id="{8ACB6983-2C4C-9A06-DB89-317B96BF1069}"/>
              </a:ext>
            </a:extLst>
          </xdr:cNvPr>
          <xdr:cNvSpPr/>
        </xdr:nvSpPr>
        <xdr:spPr>
          <a:xfrm>
            <a:off x="3484562" y="936625"/>
            <a:ext cx="9413875" cy="2254250"/>
          </a:xfrm>
          <a:prstGeom prst="roundRect">
            <a:avLst>
              <a:gd name="adj" fmla="val 12298"/>
            </a:avLst>
          </a:prstGeom>
          <a:solidFill>
            <a:srgbClr val="4F54D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86BE739C-942D-9EB9-A2CF-62FCD7A7D738}"/>
              </a:ext>
            </a:extLst>
          </xdr:cNvPr>
          <xdr:cNvSpPr/>
        </xdr:nvSpPr>
        <xdr:spPr>
          <a:xfrm>
            <a:off x="3494087" y="874712"/>
            <a:ext cx="9413875" cy="577851"/>
          </a:xfrm>
          <a:prstGeom prst="roundRect">
            <a:avLst>
              <a:gd name="adj" fmla="val 12298"/>
            </a:avLst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566737</xdr:colOff>
      <xdr:row>18</xdr:row>
      <xdr:rowOff>100011</xdr:rowOff>
    </xdr:from>
    <xdr:to>
      <xdr:col>21</xdr:col>
      <xdr:colOff>111125</xdr:colOff>
      <xdr:row>30</xdr:row>
      <xdr:rowOff>130174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56334ED4-2DDC-D9CF-CD3E-853854102047}"/>
            </a:ext>
          </a:extLst>
        </xdr:cNvPr>
        <xdr:cNvGrpSpPr/>
      </xdr:nvGrpSpPr>
      <xdr:grpSpPr>
        <a:xfrm>
          <a:off x="8512175" y="3529011"/>
          <a:ext cx="4433888" cy="2316163"/>
          <a:chOff x="3484562" y="874712"/>
          <a:chExt cx="9423400" cy="2316163"/>
        </a:xfrm>
      </xdr:grpSpPr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B6D1F1A7-C59F-D452-E97A-A78589A74191}"/>
              </a:ext>
            </a:extLst>
          </xdr:cNvPr>
          <xdr:cNvSpPr/>
        </xdr:nvSpPr>
        <xdr:spPr>
          <a:xfrm>
            <a:off x="3484562" y="936625"/>
            <a:ext cx="9413875" cy="2254250"/>
          </a:xfrm>
          <a:prstGeom prst="roundRect">
            <a:avLst>
              <a:gd name="adj" fmla="val 12298"/>
            </a:avLst>
          </a:prstGeom>
          <a:solidFill>
            <a:srgbClr val="4F54D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E25A945A-C379-3208-4A66-5420F4135284}"/>
              </a:ext>
            </a:extLst>
          </xdr:cNvPr>
          <xdr:cNvSpPr/>
        </xdr:nvSpPr>
        <xdr:spPr>
          <a:xfrm>
            <a:off x="3494087" y="874712"/>
            <a:ext cx="9413875" cy="577851"/>
          </a:xfrm>
          <a:prstGeom prst="roundRect">
            <a:avLst>
              <a:gd name="adj" fmla="val 12298"/>
            </a:avLst>
          </a:prstGeom>
          <a:solidFill>
            <a:srgbClr val="1F215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6</xdr:col>
      <xdr:colOff>285750</xdr:colOff>
      <xdr:row>5</xdr:row>
      <xdr:rowOff>134938</xdr:rowOff>
    </xdr:from>
    <xdr:to>
      <xdr:col>19</xdr:col>
      <xdr:colOff>555625</xdr:colOff>
      <xdr:row>7</xdr:row>
      <xdr:rowOff>39688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1BA945CF-A850-C2F4-4200-A8F4AA9060CB}"/>
            </a:ext>
          </a:extLst>
        </xdr:cNvPr>
        <xdr:cNvSpPr txBox="1"/>
      </xdr:nvSpPr>
      <xdr:spPr>
        <a:xfrm>
          <a:off x="3952875" y="1087438"/>
          <a:ext cx="821531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ontserrat" panose="00000500000000000000" pitchFamily="2" charset="0"/>
            </a:rPr>
            <a:t>Analise de  vendas  vendedor</a:t>
          </a:r>
          <a:r>
            <a:rPr lang="pt-BR" sz="1100" b="1" baseline="0">
              <a:solidFill>
                <a:schemeClr val="bg1"/>
              </a:solidFill>
              <a:latin typeface="Montserrat" panose="00000500000000000000" pitchFamily="2" charset="0"/>
            </a:rPr>
            <a:t>  vesus  meta</a:t>
          </a:r>
          <a:endParaRPr lang="pt-BR" sz="11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5</xdr:col>
      <xdr:colOff>382588</xdr:colOff>
      <xdr:row>19</xdr:row>
      <xdr:rowOff>58736</xdr:rowOff>
    </xdr:from>
    <xdr:to>
      <xdr:col>13</xdr:col>
      <xdr:colOff>111126</xdr:colOff>
      <xdr:row>20</xdr:row>
      <xdr:rowOff>153986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961D5487-B6EB-4AFF-8CBB-CD922CE368D0}"/>
            </a:ext>
          </a:extLst>
        </xdr:cNvPr>
        <xdr:cNvSpPr txBox="1"/>
      </xdr:nvSpPr>
      <xdr:spPr>
        <a:xfrm>
          <a:off x="3438526" y="3678236"/>
          <a:ext cx="4618038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ontserrat" panose="00000500000000000000" pitchFamily="2" charset="0"/>
            </a:rPr>
            <a:t>Analise de  vendas  por</a:t>
          </a:r>
          <a:r>
            <a:rPr lang="pt-BR" sz="1100" b="1" baseline="0">
              <a:solidFill>
                <a:schemeClr val="bg1"/>
              </a:solidFill>
              <a:latin typeface="Montserrat" panose="00000500000000000000" pitchFamily="2" charset="0"/>
            </a:rPr>
            <a:t>  vendedor</a:t>
          </a:r>
          <a:endParaRPr lang="pt-BR" sz="11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13</xdr:col>
      <xdr:colOff>558800</xdr:colOff>
      <xdr:row>19</xdr:row>
      <xdr:rowOff>84136</xdr:rowOff>
    </xdr:from>
    <xdr:to>
      <xdr:col>21</xdr:col>
      <xdr:colOff>287338</xdr:colOff>
      <xdr:row>20</xdr:row>
      <xdr:rowOff>179386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71A94898-5DB2-4935-8F31-90CC7E579A90}"/>
            </a:ext>
          </a:extLst>
        </xdr:cNvPr>
        <xdr:cNvSpPr txBox="1"/>
      </xdr:nvSpPr>
      <xdr:spPr>
        <a:xfrm>
          <a:off x="8504238" y="3703636"/>
          <a:ext cx="4618038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ontserrat" panose="00000500000000000000" pitchFamily="2" charset="0"/>
            </a:rPr>
            <a:t>Analise de  quantidade</a:t>
          </a:r>
          <a:r>
            <a:rPr lang="pt-BR" sz="1100" b="1" baseline="0">
              <a:solidFill>
                <a:schemeClr val="bg1"/>
              </a:solidFill>
              <a:latin typeface="Montserrat" panose="00000500000000000000" pitchFamily="2" charset="0"/>
            </a:rPr>
            <a:t>  vendida</a:t>
          </a:r>
          <a:r>
            <a:rPr lang="pt-BR" sz="1100" b="1">
              <a:solidFill>
                <a:schemeClr val="bg1"/>
              </a:solidFill>
              <a:latin typeface="Montserrat" panose="00000500000000000000" pitchFamily="2" charset="0"/>
            </a:rPr>
            <a:t> por</a:t>
          </a:r>
          <a:r>
            <a:rPr lang="pt-BR" sz="1100" b="1" baseline="0">
              <a:solidFill>
                <a:schemeClr val="bg1"/>
              </a:solidFill>
              <a:latin typeface="Montserrat" panose="00000500000000000000" pitchFamily="2" charset="0"/>
            </a:rPr>
            <a:t>  vendedor</a:t>
          </a:r>
          <a:endParaRPr lang="pt-BR" sz="11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21</xdr:col>
      <xdr:colOff>269875</xdr:colOff>
      <xdr:row>5</xdr:row>
      <xdr:rowOff>98425</xdr:rowOff>
    </xdr:from>
    <xdr:to>
      <xdr:col>26</xdr:col>
      <xdr:colOff>15875</xdr:colOff>
      <xdr:row>7</xdr:row>
      <xdr:rowOff>3175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C34E2244-BD75-455E-B1FA-B0A324BBED29}"/>
            </a:ext>
          </a:extLst>
        </xdr:cNvPr>
        <xdr:cNvSpPr txBox="1"/>
      </xdr:nvSpPr>
      <xdr:spPr>
        <a:xfrm>
          <a:off x="13104813" y="1050925"/>
          <a:ext cx="2801937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ontserrat" panose="00000500000000000000" pitchFamily="2" charset="0"/>
            </a:rPr>
            <a:t>Ranking</a:t>
          </a:r>
          <a:r>
            <a:rPr lang="pt-BR" sz="1100" b="1" baseline="0">
              <a:solidFill>
                <a:schemeClr val="bg1"/>
              </a:solidFill>
              <a:latin typeface="Montserrat" panose="00000500000000000000" pitchFamily="2" charset="0"/>
            </a:rPr>
            <a:t>  por  vendedor</a:t>
          </a:r>
          <a:endParaRPr lang="pt-BR" sz="11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21</xdr:col>
      <xdr:colOff>231775</xdr:colOff>
      <xdr:row>18</xdr:row>
      <xdr:rowOff>179388</xdr:rowOff>
    </xdr:from>
    <xdr:to>
      <xdr:col>25</xdr:col>
      <xdr:colOff>588962</xdr:colOff>
      <xdr:row>20</xdr:row>
      <xdr:rowOff>84138</xdr:rowOff>
    </xdr:to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FE6739F4-E9D6-47C7-9241-FF31D088F690}"/>
            </a:ext>
          </a:extLst>
        </xdr:cNvPr>
        <xdr:cNvSpPr txBox="1"/>
      </xdr:nvSpPr>
      <xdr:spPr>
        <a:xfrm>
          <a:off x="13066713" y="3608388"/>
          <a:ext cx="2801937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ontserrat" panose="00000500000000000000" pitchFamily="2" charset="0"/>
            </a:rPr>
            <a:t>Ranking</a:t>
          </a:r>
          <a:r>
            <a:rPr lang="pt-BR" sz="1100" b="1" baseline="0">
              <a:solidFill>
                <a:schemeClr val="bg1"/>
              </a:solidFill>
              <a:latin typeface="Montserrat" panose="00000500000000000000" pitchFamily="2" charset="0"/>
            </a:rPr>
            <a:t>  por  região</a:t>
          </a:r>
          <a:endParaRPr lang="pt-BR" sz="11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5</xdr:col>
      <xdr:colOff>388936</xdr:colOff>
      <xdr:row>7</xdr:row>
      <xdr:rowOff>182561</xdr:rowOff>
    </xdr:from>
    <xdr:to>
      <xdr:col>20</xdr:col>
      <xdr:colOff>611187</xdr:colOff>
      <xdr:row>17</xdr:row>
      <xdr:rowOff>142874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7738544F-DE52-49CC-83D8-7CE655822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382587</xdr:colOff>
      <xdr:row>19</xdr:row>
      <xdr:rowOff>111125</xdr:rowOff>
    </xdr:from>
    <xdr:to>
      <xdr:col>13</xdr:col>
      <xdr:colOff>492125</xdr:colOff>
      <xdr:row>30</xdr:row>
      <xdr:rowOff>103188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126113DC-B095-41E9-8E38-72195691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166688</xdr:colOff>
      <xdr:row>7</xdr:row>
      <xdr:rowOff>174625</xdr:rowOff>
    </xdr:from>
    <xdr:to>
      <xdr:col>26</xdr:col>
      <xdr:colOff>0</xdr:colOff>
      <xdr:row>17</xdr:row>
      <xdr:rowOff>31751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10234110-6552-461A-8325-8710A2A999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192087</xdr:colOff>
      <xdr:row>18</xdr:row>
      <xdr:rowOff>92075</xdr:rowOff>
    </xdr:from>
    <xdr:to>
      <xdr:col>26</xdr:col>
      <xdr:colOff>23813</xdr:colOff>
      <xdr:row>30</xdr:row>
      <xdr:rowOff>87313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1044D7F9-8F8F-4BC2-9D97-82A6F58D8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566737</xdr:colOff>
      <xdr:row>18</xdr:row>
      <xdr:rowOff>100011</xdr:rowOff>
    </xdr:from>
    <xdr:to>
      <xdr:col>20</xdr:col>
      <xdr:colOff>539750</xdr:colOff>
      <xdr:row>30</xdr:row>
      <xdr:rowOff>63500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8CFC8F28-534C-47E4-B6C7-410B97D84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428625</xdr:colOff>
      <xdr:row>1</xdr:row>
      <xdr:rowOff>79375</xdr:rowOff>
    </xdr:from>
    <xdr:to>
      <xdr:col>25</xdr:col>
      <xdr:colOff>95250</xdr:colOff>
      <xdr:row>2</xdr:row>
      <xdr:rowOff>150813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8FADEB69-B523-FBEB-F4B3-494755ED2694}"/>
            </a:ext>
          </a:extLst>
        </xdr:cNvPr>
        <xdr:cNvSpPr txBox="1"/>
      </xdr:nvSpPr>
      <xdr:spPr>
        <a:xfrm>
          <a:off x="4706938" y="269875"/>
          <a:ext cx="10668000" cy="2619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Montserrat" panose="00000500000000000000" pitchFamily="2" charset="0"/>
            </a:rPr>
            <a:t>DEMONSTRATIVO</a:t>
          </a:r>
          <a:r>
            <a:rPr lang="pt-BR" sz="2400" b="1" baseline="0">
              <a:solidFill>
                <a:schemeClr val="bg1"/>
              </a:solidFill>
              <a:latin typeface="Montserrat" panose="00000500000000000000" pitchFamily="2" charset="0"/>
            </a:rPr>
            <a:t>  DE  VENDAS  </a:t>
          </a:r>
          <a:endParaRPr lang="pt-BR" sz="24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quivo" refreshedDate="45868.444463310188" createdVersion="8" refreshedVersion="8" minRefreshableVersion="3" recordCount="150" xr:uid="{09EA53A7-10A2-400C-9B5B-21B7437B0F5A}">
  <cacheSource type="worksheet">
    <worksheetSource name="BaseVendas"/>
  </cacheSource>
  <cacheFields count="8">
    <cacheField name="Data" numFmtId="14">
      <sharedItems containsSemiMixedTypes="0" containsNonDate="0" containsDate="1" containsString="0" minDate="2025-05-01T00:00:00" maxDate="2025-07-30T00:00:00"/>
    </cacheField>
    <cacheField name="Ano" numFmtId="0">
      <sharedItems containsSemiMixedTypes="0" containsString="0" containsNumber="1" containsInteger="1" minValue="2025" maxValue="2025"/>
    </cacheField>
    <cacheField name="Mês" numFmtId="14">
      <sharedItems count="3">
        <s v="Mai"/>
        <s v="Jun"/>
        <s v="Jul"/>
      </sharedItems>
    </cacheField>
    <cacheField name="Vendedor" numFmtId="0">
      <sharedItems count="6">
        <s v="Bruno"/>
        <s v="Carlos"/>
        <s v="Fernanda"/>
        <s v="Eduardo"/>
        <s v="Daniela"/>
        <s v="Ana"/>
      </sharedItems>
    </cacheField>
    <cacheField name="Valor" numFmtId="8">
      <sharedItems containsSemiMixedTypes="0" containsString="0" containsNumber="1" minValue="110.54" maxValue="9967.36"/>
    </cacheField>
    <cacheField name="Região" numFmtId="0">
      <sharedItems count="5">
        <s v="Centro-Oeste"/>
        <s v="Sul"/>
        <s v="Oeste"/>
        <s v="Leste"/>
        <s v="Norte"/>
      </sharedItems>
    </cacheField>
    <cacheField name="Estimado" numFmtId="8">
      <sharedItems containsSemiMixedTypes="0" containsString="0" containsNumber="1" minValue="15032.64" maxValue="24889.46"/>
    </cacheField>
    <cacheField name="Meta" numFmtId="8">
      <sharedItems containsSemiMixedTypes="0" containsString="0" containsNumber="1" minValue="24999.999999999996" maxValue="25000.000000000004"/>
    </cacheField>
  </cacheFields>
  <extLst>
    <ext xmlns:x14="http://schemas.microsoft.com/office/spreadsheetml/2009/9/main" uri="{725AE2AE-9491-48be-B2B4-4EB974FC3084}">
      <x14:pivotCacheDefinition pivotCacheId="196198619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d v="2025-05-01T00:00:00"/>
    <n v="2025"/>
    <x v="0"/>
    <x v="0"/>
    <n v="9325.82"/>
    <x v="0"/>
    <n v="15674.18"/>
    <n v="25000"/>
  </r>
  <r>
    <d v="2025-05-02T00:00:00"/>
    <n v="2025"/>
    <x v="0"/>
    <x v="1"/>
    <n v="4008.66"/>
    <x v="1"/>
    <n v="20991.34"/>
    <n v="25000"/>
  </r>
  <r>
    <d v="2025-05-03T00:00:00"/>
    <n v="2025"/>
    <x v="0"/>
    <x v="2"/>
    <n v="1504.79"/>
    <x v="2"/>
    <n v="23495.21"/>
    <n v="25000"/>
  </r>
  <r>
    <d v="2025-05-04T00:00:00"/>
    <n v="2025"/>
    <x v="0"/>
    <x v="3"/>
    <n v="1511.12"/>
    <x v="3"/>
    <n v="23488.880000000005"/>
    <n v="25000.000000000004"/>
  </r>
  <r>
    <d v="2025-05-04T00:00:00"/>
    <n v="2025"/>
    <x v="0"/>
    <x v="1"/>
    <n v="2354.69"/>
    <x v="1"/>
    <n v="22645.309999999998"/>
    <n v="24999.999999999996"/>
  </r>
  <r>
    <d v="2025-05-04T00:00:00"/>
    <n v="2025"/>
    <x v="0"/>
    <x v="1"/>
    <n v="8255.43"/>
    <x v="2"/>
    <n v="16744.57"/>
    <n v="25000"/>
  </r>
  <r>
    <d v="2025-05-05T00:00:00"/>
    <n v="2025"/>
    <x v="0"/>
    <x v="2"/>
    <n v="3690.39"/>
    <x v="4"/>
    <n v="21309.61"/>
    <n v="25000"/>
  </r>
  <r>
    <d v="2025-05-06T00:00:00"/>
    <n v="2025"/>
    <x v="0"/>
    <x v="2"/>
    <n v="9906.31"/>
    <x v="3"/>
    <n v="15093.690000000002"/>
    <n v="25000"/>
  </r>
  <r>
    <d v="2025-05-07T00:00:00"/>
    <n v="2025"/>
    <x v="0"/>
    <x v="4"/>
    <n v="2491.15"/>
    <x v="4"/>
    <n v="22508.85"/>
    <n v="25000"/>
  </r>
  <r>
    <d v="2025-05-07T00:00:00"/>
    <n v="2025"/>
    <x v="0"/>
    <x v="3"/>
    <n v="4311.93"/>
    <x v="0"/>
    <n v="20688.07"/>
    <n v="25000"/>
  </r>
  <r>
    <d v="2025-05-08T00:00:00"/>
    <n v="2025"/>
    <x v="0"/>
    <x v="2"/>
    <n v="6558.92"/>
    <x v="0"/>
    <n v="18441.080000000002"/>
    <n v="25000"/>
  </r>
  <r>
    <d v="2025-05-09T00:00:00"/>
    <n v="2025"/>
    <x v="0"/>
    <x v="2"/>
    <n v="4713.67"/>
    <x v="1"/>
    <n v="20286.330000000002"/>
    <n v="25000"/>
  </r>
  <r>
    <d v="2025-05-09T00:00:00"/>
    <n v="2025"/>
    <x v="0"/>
    <x v="4"/>
    <n v="5805.16"/>
    <x v="3"/>
    <n v="19194.84"/>
    <n v="25000"/>
  </r>
  <r>
    <d v="2025-05-09T00:00:00"/>
    <n v="2025"/>
    <x v="0"/>
    <x v="0"/>
    <n v="5164.6899999999996"/>
    <x v="4"/>
    <n v="19835.310000000005"/>
    <n v="25000.000000000004"/>
  </r>
  <r>
    <d v="2025-05-09T00:00:00"/>
    <n v="2025"/>
    <x v="0"/>
    <x v="5"/>
    <n v="4828.28"/>
    <x v="3"/>
    <n v="20171.72"/>
    <n v="25000"/>
  </r>
  <r>
    <d v="2025-05-10T00:00:00"/>
    <n v="2025"/>
    <x v="0"/>
    <x v="4"/>
    <n v="9805.7000000000007"/>
    <x v="3"/>
    <n v="15194.3"/>
    <n v="25000"/>
  </r>
  <r>
    <d v="2025-05-10T00:00:00"/>
    <n v="2025"/>
    <x v="0"/>
    <x v="4"/>
    <n v="3142.83"/>
    <x v="2"/>
    <n v="21857.17"/>
    <n v="25000"/>
  </r>
  <r>
    <d v="2025-05-12T00:00:00"/>
    <n v="2025"/>
    <x v="0"/>
    <x v="2"/>
    <n v="6264.12"/>
    <x v="2"/>
    <n v="18735.88"/>
    <n v="25000"/>
  </r>
  <r>
    <d v="2025-05-12T00:00:00"/>
    <n v="2025"/>
    <x v="0"/>
    <x v="0"/>
    <n v="6566.05"/>
    <x v="0"/>
    <n v="18433.95"/>
    <n v="25000"/>
  </r>
  <r>
    <d v="2025-05-12T00:00:00"/>
    <n v="2025"/>
    <x v="0"/>
    <x v="2"/>
    <n v="6369.09"/>
    <x v="1"/>
    <n v="18630.91"/>
    <n v="25000"/>
  </r>
  <r>
    <d v="2025-05-12T00:00:00"/>
    <n v="2025"/>
    <x v="0"/>
    <x v="2"/>
    <n v="1349.85"/>
    <x v="0"/>
    <n v="23650.15"/>
    <n v="25000"/>
  </r>
  <r>
    <d v="2025-05-13T00:00:00"/>
    <n v="2025"/>
    <x v="0"/>
    <x v="2"/>
    <n v="5725.39"/>
    <x v="2"/>
    <n v="19274.61"/>
    <n v="25000"/>
  </r>
  <r>
    <d v="2025-05-15T00:00:00"/>
    <n v="2025"/>
    <x v="0"/>
    <x v="5"/>
    <n v="8057.72"/>
    <x v="2"/>
    <n v="16942.28"/>
    <n v="25000"/>
  </r>
  <r>
    <d v="2025-05-15T00:00:00"/>
    <n v="2025"/>
    <x v="0"/>
    <x v="3"/>
    <n v="5111.21"/>
    <x v="1"/>
    <n v="19888.79"/>
    <n v="25000"/>
  </r>
  <r>
    <d v="2025-05-16T00:00:00"/>
    <n v="2025"/>
    <x v="0"/>
    <x v="5"/>
    <n v="8748.7099999999991"/>
    <x v="0"/>
    <n v="16251.29"/>
    <n v="25000"/>
  </r>
  <r>
    <d v="2025-05-17T00:00:00"/>
    <n v="2025"/>
    <x v="0"/>
    <x v="5"/>
    <n v="5642.29"/>
    <x v="4"/>
    <n v="19357.71"/>
    <n v="25000"/>
  </r>
  <r>
    <d v="2025-05-18T00:00:00"/>
    <n v="2025"/>
    <x v="0"/>
    <x v="1"/>
    <n v="3798"/>
    <x v="3"/>
    <n v="21202"/>
    <n v="25000"/>
  </r>
  <r>
    <d v="2025-05-18T00:00:00"/>
    <n v="2025"/>
    <x v="0"/>
    <x v="4"/>
    <n v="5562.38"/>
    <x v="3"/>
    <n v="19437.619999999995"/>
    <n v="24999.999999999996"/>
  </r>
  <r>
    <d v="2025-05-19T00:00:00"/>
    <n v="2025"/>
    <x v="0"/>
    <x v="4"/>
    <n v="3958.59"/>
    <x v="0"/>
    <n v="21041.41"/>
    <n v="25000"/>
  </r>
  <r>
    <d v="2025-05-20T00:00:00"/>
    <n v="2025"/>
    <x v="0"/>
    <x v="2"/>
    <n v="1007.99"/>
    <x v="2"/>
    <n v="23992.010000000002"/>
    <n v="25000.000000000004"/>
  </r>
  <r>
    <d v="2025-05-20T00:00:00"/>
    <n v="2025"/>
    <x v="0"/>
    <x v="4"/>
    <n v="4079.18"/>
    <x v="4"/>
    <n v="20920.82"/>
    <n v="25000"/>
  </r>
  <r>
    <d v="2025-05-20T00:00:00"/>
    <n v="2025"/>
    <x v="0"/>
    <x v="0"/>
    <n v="4668.8999999999996"/>
    <x v="2"/>
    <n v="20331.099999999999"/>
    <n v="25000"/>
  </r>
  <r>
    <d v="2025-05-20T00:00:00"/>
    <n v="2025"/>
    <x v="0"/>
    <x v="4"/>
    <n v="3410.07"/>
    <x v="3"/>
    <n v="21589.929999999997"/>
    <n v="24999.999999999996"/>
  </r>
  <r>
    <d v="2025-05-20T00:00:00"/>
    <n v="2025"/>
    <x v="0"/>
    <x v="4"/>
    <n v="9479.52"/>
    <x v="1"/>
    <n v="15520.48"/>
    <n v="25000"/>
  </r>
  <r>
    <d v="2025-05-20T00:00:00"/>
    <n v="2025"/>
    <x v="0"/>
    <x v="1"/>
    <n v="3705.77"/>
    <x v="3"/>
    <n v="21294.23"/>
    <n v="25000"/>
  </r>
  <r>
    <d v="2025-05-20T00:00:00"/>
    <n v="2025"/>
    <x v="0"/>
    <x v="2"/>
    <n v="2171.9899999999998"/>
    <x v="4"/>
    <n v="22828.010000000002"/>
    <n v="25000"/>
  </r>
  <r>
    <d v="2025-05-20T00:00:00"/>
    <n v="2025"/>
    <x v="0"/>
    <x v="0"/>
    <n v="8846.86"/>
    <x v="3"/>
    <n v="16153.14"/>
    <n v="25000"/>
  </r>
  <r>
    <d v="2025-05-21T00:00:00"/>
    <n v="2025"/>
    <x v="0"/>
    <x v="5"/>
    <n v="8386.2900000000009"/>
    <x v="1"/>
    <n v="16613.71"/>
    <n v="25000"/>
  </r>
  <r>
    <d v="2025-05-22T00:00:00"/>
    <n v="2025"/>
    <x v="0"/>
    <x v="2"/>
    <n v="1037.6500000000001"/>
    <x v="3"/>
    <n v="23962.35"/>
    <n v="25000"/>
  </r>
  <r>
    <d v="2025-05-22T00:00:00"/>
    <n v="2025"/>
    <x v="0"/>
    <x v="0"/>
    <n v="8181.61"/>
    <x v="0"/>
    <n v="16818.39"/>
    <n v="25000"/>
  </r>
  <r>
    <d v="2025-05-22T00:00:00"/>
    <n v="2025"/>
    <x v="0"/>
    <x v="3"/>
    <n v="8458.31"/>
    <x v="4"/>
    <n v="16541.689999999999"/>
    <n v="25000"/>
  </r>
  <r>
    <d v="2025-05-24T00:00:00"/>
    <n v="2025"/>
    <x v="0"/>
    <x v="0"/>
    <n v="2836"/>
    <x v="2"/>
    <n v="22164"/>
    <n v="25000"/>
  </r>
  <r>
    <d v="2025-05-25T00:00:00"/>
    <n v="2025"/>
    <x v="0"/>
    <x v="4"/>
    <n v="6326.97"/>
    <x v="1"/>
    <n v="18673.03"/>
    <n v="25000"/>
  </r>
  <r>
    <d v="2025-05-26T00:00:00"/>
    <n v="2025"/>
    <x v="0"/>
    <x v="5"/>
    <n v="8057.32"/>
    <x v="3"/>
    <n v="16942.68"/>
    <n v="25000"/>
  </r>
  <r>
    <d v="2025-05-26T00:00:00"/>
    <n v="2025"/>
    <x v="0"/>
    <x v="0"/>
    <n v="2745.12"/>
    <x v="3"/>
    <n v="22254.880000000005"/>
    <n v="25000.000000000004"/>
  </r>
  <r>
    <d v="2025-05-27T00:00:00"/>
    <n v="2025"/>
    <x v="0"/>
    <x v="1"/>
    <n v="6918.24"/>
    <x v="4"/>
    <n v="18081.760000000002"/>
    <n v="25000"/>
  </r>
  <r>
    <d v="2025-05-27T00:00:00"/>
    <n v="2025"/>
    <x v="0"/>
    <x v="3"/>
    <n v="9265.43"/>
    <x v="1"/>
    <n v="15734.57"/>
    <n v="25000"/>
  </r>
  <r>
    <d v="2025-05-28T00:00:00"/>
    <n v="2025"/>
    <x v="0"/>
    <x v="3"/>
    <n v="8689.5499999999993"/>
    <x v="4"/>
    <n v="16310.45"/>
    <n v="25000"/>
  </r>
  <r>
    <d v="2025-05-28T00:00:00"/>
    <n v="2025"/>
    <x v="0"/>
    <x v="2"/>
    <n v="6304.98"/>
    <x v="2"/>
    <n v="18695.02"/>
    <n v="25000"/>
  </r>
  <r>
    <d v="2025-05-30T00:00:00"/>
    <n v="2025"/>
    <x v="0"/>
    <x v="1"/>
    <n v="1184.25"/>
    <x v="4"/>
    <n v="23815.75"/>
    <n v="25000"/>
  </r>
  <r>
    <d v="2025-05-30T00:00:00"/>
    <n v="2025"/>
    <x v="0"/>
    <x v="4"/>
    <n v="3830.25"/>
    <x v="1"/>
    <n v="21169.75"/>
    <n v="25000"/>
  </r>
  <r>
    <d v="2025-05-30T00:00:00"/>
    <n v="2025"/>
    <x v="0"/>
    <x v="1"/>
    <n v="4400.9799999999996"/>
    <x v="1"/>
    <n v="20599.02"/>
    <n v="25000"/>
  </r>
  <r>
    <d v="2025-05-31T00:00:00"/>
    <n v="2025"/>
    <x v="0"/>
    <x v="2"/>
    <n v="7799.43"/>
    <x v="0"/>
    <n v="17200.57"/>
    <n v="25000"/>
  </r>
  <r>
    <d v="2025-06-01T00:00:00"/>
    <n v="2025"/>
    <x v="1"/>
    <x v="5"/>
    <n v="7900.65"/>
    <x v="0"/>
    <n v="17099.350000000002"/>
    <n v="25000"/>
  </r>
  <r>
    <d v="2025-06-01T00:00:00"/>
    <n v="2025"/>
    <x v="1"/>
    <x v="4"/>
    <n v="4918.28"/>
    <x v="3"/>
    <n v="20081.72"/>
    <n v="25000"/>
  </r>
  <r>
    <d v="2025-06-01T00:00:00"/>
    <n v="2025"/>
    <x v="1"/>
    <x v="1"/>
    <n v="8085.65"/>
    <x v="2"/>
    <n v="16914.350000000002"/>
    <n v="25000"/>
  </r>
  <r>
    <d v="2025-06-01T00:00:00"/>
    <n v="2025"/>
    <x v="1"/>
    <x v="1"/>
    <n v="5749.37"/>
    <x v="1"/>
    <n v="19250.630000000005"/>
    <n v="25000.000000000004"/>
  </r>
  <r>
    <d v="2025-06-04T00:00:00"/>
    <n v="2025"/>
    <x v="1"/>
    <x v="1"/>
    <n v="1034.03"/>
    <x v="2"/>
    <n v="23965.969999999998"/>
    <n v="24999.999999999996"/>
  </r>
  <r>
    <d v="2025-06-05T00:00:00"/>
    <n v="2025"/>
    <x v="1"/>
    <x v="5"/>
    <n v="5392.8"/>
    <x v="3"/>
    <n v="19607.200000000004"/>
    <n v="25000.000000000004"/>
  </r>
  <r>
    <d v="2025-06-05T00:00:00"/>
    <n v="2025"/>
    <x v="1"/>
    <x v="3"/>
    <n v="110.54"/>
    <x v="1"/>
    <n v="24889.46"/>
    <n v="25000"/>
  </r>
  <r>
    <d v="2025-06-05T00:00:00"/>
    <n v="2025"/>
    <x v="1"/>
    <x v="2"/>
    <n v="6020.63"/>
    <x v="1"/>
    <n v="18979.37"/>
    <n v="25000"/>
  </r>
  <r>
    <d v="2025-06-06T00:00:00"/>
    <n v="2025"/>
    <x v="1"/>
    <x v="5"/>
    <n v="7445.41"/>
    <x v="0"/>
    <n v="17554.59"/>
    <n v="25000"/>
  </r>
  <r>
    <d v="2025-06-06T00:00:00"/>
    <n v="2025"/>
    <x v="1"/>
    <x v="5"/>
    <n v="2387.92"/>
    <x v="4"/>
    <n v="22612.080000000002"/>
    <n v="25000"/>
  </r>
  <r>
    <d v="2025-06-06T00:00:00"/>
    <n v="2025"/>
    <x v="1"/>
    <x v="3"/>
    <n v="9029.49"/>
    <x v="2"/>
    <n v="15970.510000000002"/>
    <n v="25000"/>
  </r>
  <r>
    <d v="2025-06-07T00:00:00"/>
    <n v="2025"/>
    <x v="1"/>
    <x v="0"/>
    <n v="5125.4399999999996"/>
    <x v="2"/>
    <n v="19874.560000000005"/>
    <n v="25000.000000000004"/>
  </r>
  <r>
    <d v="2025-06-07T00:00:00"/>
    <n v="2025"/>
    <x v="1"/>
    <x v="0"/>
    <n v="4744.1000000000004"/>
    <x v="2"/>
    <n v="20255.900000000001"/>
    <n v="25000"/>
  </r>
  <r>
    <d v="2025-06-07T00:00:00"/>
    <n v="2025"/>
    <x v="1"/>
    <x v="5"/>
    <n v="6153.57"/>
    <x v="2"/>
    <n v="18846.43"/>
    <n v="25000"/>
  </r>
  <r>
    <d v="2025-06-10T00:00:00"/>
    <n v="2025"/>
    <x v="1"/>
    <x v="4"/>
    <n v="1476.01"/>
    <x v="1"/>
    <n v="23523.989999999998"/>
    <n v="24999.999999999996"/>
  </r>
  <r>
    <d v="2025-06-10T00:00:00"/>
    <n v="2025"/>
    <x v="1"/>
    <x v="2"/>
    <n v="6351.77"/>
    <x v="2"/>
    <n v="18648.23"/>
    <n v="25000"/>
  </r>
  <r>
    <d v="2025-06-11T00:00:00"/>
    <n v="2025"/>
    <x v="1"/>
    <x v="4"/>
    <n v="9397.25"/>
    <x v="4"/>
    <n v="15602.75"/>
    <n v="25000"/>
  </r>
  <r>
    <d v="2025-06-12T00:00:00"/>
    <n v="2025"/>
    <x v="1"/>
    <x v="3"/>
    <n v="9164.0400000000009"/>
    <x v="4"/>
    <n v="15835.96"/>
    <n v="25000"/>
  </r>
  <r>
    <d v="2025-06-12T00:00:00"/>
    <n v="2025"/>
    <x v="1"/>
    <x v="2"/>
    <n v="3260.19"/>
    <x v="1"/>
    <n v="21739.809999999998"/>
    <n v="24999.999999999996"/>
  </r>
  <r>
    <d v="2025-06-12T00:00:00"/>
    <n v="2025"/>
    <x v="1"/>
    <x v="5"/>
    <n v="9917.16"/>
    <x v="1"/>
    <n v="15082.84"/>
    <n v="25000"/>
  </r>
  <r>
    <d v="2025-06-12T00:00:00"/>
    <n v="2025"/>
    <x v="1"/>
    <x v="5"/>
    <n v="2971.48"/>
    <x v="2"/>
    <n v="22028.52"/>
    <n v="25000"/>
  </r>
  <r>
    <d v="2025-06-12T00:00:00"/>
    <n v="2025"/>
    <x v="1"/>
    <x v="2"/>
    <n v="5437.18"/>
    <x v="4"/>
    <n v="19562.82"/>
    <n v="25000"/>
  </r>
  <r>
    <d v="2025-06-14T00:00:00"/>
    <n v="2025"/>
    <x v="1"/>
    <x v="5"/>
    <n v="5314.25"/>
    <x v="4"/>
    <n v="19685.75"/>
    <n v="25000"/>
  </r>
  <r>
    <d v="2025-06-14T00:00:00"/>
    <n v="2025"/>
    <x v="1"/>
    <x v="2"/>
    <n v="1493.01"/>
    <x v="1"/>
    <n v="23506.989999999998"/>
    <n v="24999.999999999996"/>
  </r>
  <r>
    <d v="2025-06-14T00:00:00"/>
    <n v="2025"/>
    <x v="1"/>
    <x v="0"/>
    <n v="931.47"/>
    <x v="1"/>
    <n v="24068.530000000002"/>
    <n v="25000.000000000004"/>
  </r>
  <r>
    <d v="2025-06-16T00:00:00"/>
    <n v="2025"/>
    <x v="1"/>
    <x v="2"/>
    <n v="6622.01"/>
    <x v="0"/>
    <n v="18377.989999999998"/>
    <n v="25000"/>
  </r>
  <r>
    <d v="2025-06-17T00:00:00"/>
    <n v="2025"/>
    <x v="1"/>
    <x v="0"/>
    <n v="8812.1"/>
    <x v="0"/>
    <n v="16187.899999999998"/>
    <n v="25000"/>
  </r>
  <r>
    <d v="2025-06-17T00:00:00"/>
    <n v="2025"/>
    <x v="1"/>
    <x v="2"/>
    <n v="8721.56"/>
    <x v="3"/>
    <n v="16278.439999999999"/>
    <n v="25000"/>
  </r>
  <r>
    <d v="2025-06-17T00:00:00"/>
    <n v="2025"/>
    <x v="1"/>
    <x v="0"/>
    <n v="4311.66"/>
    <x v="2"/>
    <n v="20688.34"/>
    <n v="25000"/>
  </r>
  <r>
    <d v="2025-06-17T00:00:00"/>
    <n v="2025"/>
    <x v="1"/>
    <x v="4"/>
    <n v="2710.32"/>
    <x v="2"/>
    <n v="22289.68"/>
    <n v="25000"/>
  </r>
  <r>
    <d v="2025-06-18T00:00:00"/>
    <n v="2025"/>
    <x v="1"/>
    <x v="4"/>
    <n v="4519.8999999999996"/>
    <x v="3"/>
    <n v="20480.099999999999"/>
    <n v="25000"/>
  </r>
  <r>
    <d v="2025-06-19T00:00:00"/>
    <n v="2025"/>
    <x v="1"/>
    <x v="1"/>
    <n v="3398.28"/>
    <x v="3"/>
    <n v="21601.72"/>
    <n v="25000"/>
  </r>
  <r>
    <d v="2025-06-20T00:00:00"/>
    <n v="2025"/>
    <x v="1"/>
    <x v="0"/>
    <n v="1779.55"/>
    <x v="0"/>
    <n v="23220.45"/>
    <n v="25000"/>
  </r>
  <r>
    <d v="2025-06-20T00:00:00"/>
    <n v="2025"/>
    <x v="1"/>
    <x v="2"/>
    <n v="3563.46"/>
    <x v="3"/>
    <n v="21436.54"/>
    <n v="25000"/>
  </r>
  <r>
    <d v="2025-06-20T00:00:00"/>
    <n v="2025"/>
    <x v="1"/>
    <x v="3"/>
    <n v="2057.6"/>
    <x v="4"/>
    <n v="22942.400000000001"/>
    <n v="25000"/>
  </r>
  <r>
    <d v="2025-06-20T00:00:00"/>
    <n v="2025"/>
    <x v="1"/>
    <x v="0"/>
    <n v="7001.78"/>
    <x v="3"/>
    <n v="17998.22"/>
    <n v="25000"/>
  </r>
  <r>
    <d v="2025-06-22T00:00:00"/>
    <n v="2025"/>
    <x v="1"/>
    <x v="2"/>
    <n v="5756.86"/>
    <x v="3"/>
    <n v="19243.14"/>
    <n v="25000"/>
  </r>
  <r>
    <d v="2025-06-22T00:00:00"/>
    <n v="2025"/>
    <x v="1"/>
    <x v="4"/>
    <n v="5439.94"/>
    <x v="2"/>
    <n v="19560.060000000005"/>
    <n v="25000.000000000004"/>
  </r>
  <r>
    <d v="2025-06-23T00:00:00"/>
    <n v="2025"/>
    <x v="1"/>
    <x v="4"/>
    <n v="2340.46"/>
    <x v="2"/>
    <n v="22659.54"/>
    <n v="25000"/>
  </r>
  <r>
    <d v="2025-06-23T00:00:00"/>
    <n v="2025"/>
    <x v="1"/>
    <x v="0"/>
    <n v="6643.32"/>
    <x v="2"/>
    <n v="18356.68"/>
    <n v="25000"/>
  </r>
  <r>
    <d v="2025-06-23T00:00:00"/>
    <n v="2025"/>
    <x v="1"/>
    <x v="4"/>
    <n v="4843.3999999999996"/>
    <x v="2"/>
    <n v="20156.599999999999"/>
    <n v="25000"/>
  </r>
  <r>
    <d v="2025-06-24T00:00:00"/>
    <n v="2025"/>
    <x v="1"/>
    <x v="0"/>
    <n v="6113.28"/>
    <x v="4"/>
    <n v="18886.72"/>
    <n v="25000"/>
  </r>
  <r>
    <d v="2025-06-24T00:00:00"/>
    <n v="2025"/>
    <x v="1"/>
    <x v="1"/>
    <n v="6675.08"/>
    <x v="4"/>
    <n v="18324.919999999998"/>
    <n v="25000"/>
  </r>
  <r>
    <d v="2025-06-25T00:00:00"/>
    <n v="2025"/>
    <x v="1"/>
    <x v="3"/>
    <n v="978.41"/>
    <x v="3"/>
    <n v="24021.59"/>
    <n v="25000"/>
  </r>
  <r>
    <d v="2025-06-25T00:00:00"/>
    <n v="2025"/>
    <x v="1"/>
    <x v="0"/>
    <n v="2999.61"/>
    <x v="3"/>
    <n v="22000.39"/>
    <n v="25000"/>
  </r>
  <r>
    <d v="2025-06-27T00:00:00"/>
    <n v="2025"/>
    <x v="1"/>
    <x v="3"/>
    <n v="8834.9699999999993"/>
    <x v="3"/>
    <n v="16165.030000000002"/>
    <n v="25000"/>
  </r>
  <r>
    <d v="2025-06-28T00:00:00"/>
    <n v="2025"/>
    <x v="1"/>
    <x v="1"/>
    <n v="6734.42"/>
    <x v="2"/>
    <n v="18265.580000000002"/>
    <n v="25000"/>
  </r>
  <r>
    <d v="2025-06-28T00:00:00"/>
    <n v="2025"/>
    <x v="1"/>
    <x v="5"/>
    <n v="4087.12"/>
    <x v="3"/>
    <n v="20912.880000000005"/>
    <n v="25000.000000000004"/>
  </r>
  <r>
    <d v="2025-06-28T00:00:00"/>
    <n v="2025"/>
    <x v="1"/>
    <x v="1"/>
    <n v="2072.4"/>
    <x v="2"/>
    <n v="22927.599999999999"/>
    <n v="25000"/>
  </r>
  <r>
    <d v="2025-06-29T00:00:00"/>
    <n v="2025"/>
    <x v="1"/>
    <x v="0"/>
    <n v="7464.88"/>
    <x v="4"/>
    <n v="17535.12"/>
    <n v="25000"/>
  </r>
  <r>
    <d v="2025-06-30T00:00:00"/>
    <n v="2025"/>
    <x v="1"/>
    <x v="3"/>
    <n v="2743.87"/>
    <x v="2"/>
    <n v="22256.130000000005"/>
    <n v="25000.000000000004"/>
  </r>
  <r>
    <d v="2025-07-01T00:00:00"/>
    <n v="2025"/>
    <x v="2"/>
    <x v="1"/>
    <n v="3947.41"/>
    <x v="0"/>
    <n v="21052.59"/>
    <n v="25000"/>
  </r>
  <r>
    <d v="2025-07-02T00:00:00"/>
    <n v="2025"/>
    <x v="2"/>
    <x v="0"/>
    <n v="1272.73"/>
    <x v="1"/>
    <n v="23727.27"/>
    <n v="25000"/>
  </r>
  <r>
    <d v="2025-07-02T00:00:00"/>
    <n v="2025"/>
    <x v="2"/>
    <x v="1"/>
    <n v="2056.1799999999998"/>
    <x v="0"/>
    <n v="22943.82"/>
    <n v="25000"/>
  </r>
  <r>
    <d v="2025-07-02T00:00:00"/>
    <n v="2025"/>
    <x v="2"/>
    <x v="2"/>
    <n v="8051.03"/>
    <x v="4"/>
    <n v="16948.97"/>
    <n v="25000"/>
  </r>
  <r>
    <d v="2025-07-03T00:00:00"/>
    <n v="2025"/>
    <x v="2"/>
    <x v="0"/>
    <n v="6936.23"/>
    <x v="0"/>
    <n v="18063.77"/>
    <n v="25000"/>
  </r>
  <r>
    <d v="2025-07-04T00:00:00"/>
    <n v="2025"/>
    <x v="2"/>
    <x v="2"/>
    <n v="5243.87"/>
    <x v="0"/>
    <n v="19756.130000000005"/>
    <n v="25000.000000000004"/>
  </r>
  <r>
    <d v="2025-07-04T00:00:00"/>
    <n v="2025"/>
    <x v="2"/>
    <x v="4"/>
    <n v="9841.6200000000008"/>
    <x v="2"/>
    <n v="15158.380000000003"/>
    <n v="25000.000000000004"/>
  </r>
  <r>
    <d v="2025-07-05T00:00:00"/>
    <n v="2025"/>
    <x v="2"/>
    <x v="4"/>
    <n v="2644.72"/>
    <x v="2"/>
    <n v="22355.279999999999"/>
    <n v="25000"/>
  </r>
  <r>
    <d v="2025-07-08T00:00:00"/>
    <n v="2025"/>
    <x v="2"/>
    <x v="3"/>
    <n v="4747.6899999999996"/>
    <x v="3"/>
    <n v="20252.310000000005"/>
    <n v="25000.000000000004"/>
  </r>
  <r>
    <d v="2025-07-08T00:00:00"/>
    <n v="2025"/>
    <x v="2"/>
    <x v="0"/>
    <n v="9196.08"/>
    <x v="1"/>
    <n v="15803.920000000002"/>
    <n v="25000"/>
  </r>
  <r>
    <d v="2025-07-09T00:00:00"/>
    <n v="2025"/>
    <x v="2"/>
    <x v="1"/>
    <n v="1436.32"/>
    <x v="0"/>
    <n v="23563.68"/>
    <n v="25000"/>
  </r>
  <r>
    <d v="2025-07-10T00:00:00"/>
    <n v="2025"/>
    <x v="2"/>
    <x v="3"/>
    <n v="9164.08"/>
    <x v="0"/>
    <n v="15835.920000000002"/>
    <n v="25000"/>
  </r>
  <r>
    <d v="2025-07-11T00:00:00"/>
    <n v="2025"/>
    <x v="2"/>
    <x v="4"/>
    <n v="2744.31"/>
    <x v="3"/>
    <n v="22255.690000000002"/>
    <n v="25000.000000000004"/>
  </r>
  <r>
    <d v="2025-07-12T00:00:00"/>
    <n v="2025"/>
    <x v="2"/>
    <x v="0"/>
    <n v="995.9"/>
    <x v="3"/>
    <n v="24004.1"/>
    <n v="25000"/>
  </r>
  <r>
    <d v="2025-07-12T00:00:00"/>
    <n v="2025"/>
    <x v="2"/>
    <x v="3"/>
    <n v="2408"/>
    <x v="3"/>
    <n v="22592"/>
    <n v="25000"/>
  </r>
  <r>
    <d v="2025-07-13T00:00:00"/>
    <n v="2025"/>
    <x v="2"/>
    <x v="5"/>
    <n v="9967.36"/>
    <x v="1"/>
    <n v="15032.64"/>
    <n v="25000"/>
  </r>
  <r>
    <d v="2025-07-13T00:00:00"/>
    <n v="2025"/>
    <x v="2"/>
    <x v="1"/>
    <n v="1971.14"/>
    <x v="3"/>
    <n v="23028.86"/>
    <n v="25000"/>
  </r>
  <r>
    <d v="2025-07-14T00:00:00"/>
    <n v="2025"/>
    <x v="2"/>
    <x v="3"/>
    <n v="7704.46"/>
    <x v="1"/>
    <n v="17295.54"/>
    <n v="25000"/>
  </r>
  <r>
    <d v="2025-07-14T00:00:00"/>
    <n v="2025"/>
    <x v="2"/>
    <x v="3"/>
    <n v="348.93"/>
    <x v="3"/>
    <n v="24651.07"/>
    <n v="25000"/>
  </r>
  <r>
    <d v="2025-07-14T00:00:00"/>
    <n v="2025"/>
    <x v="2"/>
    <x v="3"/>
    <n v="8016.47"/>
    <x v="4"/>
    <n v="16983.53"/>
    <n v="25000"/>
  </r>
  <r>
    <d v="2025-07-15T00:00:00"/>
    <n v="2025"/>
    <x v="2"/>
    <x v="5"/>
    <n v="2887.15"/>
    <x v="3"/>
    <n v="22112.85"/>
    <n v="25000"/>
  </r>
  <r>
    <d v="2025-07-15T00:00:00"/>
    <n v="2025"/>
    <x v="2"/>
    <x v="2"/>
    <n v="8653.56"/>
    <x v="3"/>
    <n v="16346.44"/>
    <n v="25000"/>
  </r>
  <r>
    <d v="2025-07-16T00:00:00"/>
    <n v="2025"/>
    <x v="2"/>
    <x v="3"/>
    <n v="3392.66"/>
    <x v="1"/>
    <n v="21607.34"/>
    <n v="25000"/>
  </r>
  <r>
    <d v="2025-07-16T00:00:00"/>
    <n v="2025"/>
    <x v="2"/>
    <x v="4"/>
    <n v="2649.81"/>
    <x v="1"/>
    <n v="22350.190000000002"/>
    <n v="25000.000000000004"/>
  </r>
  <r>
    <d v="2025-07-16T00:00:00"/>
    <n v="2025"/>
    <x v="2"/>
    <x v="3"/>
    <n v="2840.07"/>
    <x v="4"/>
    <n v="22159.93"/>
    <n v="25000"/>
  </r>
  <r>
    <d v="2025-07-17T00:00:00"/>
    <n v="2025"/>
    <x v="2"/>
    <x v="0"/>
    <n v="5396.52"/>
    <x v="2"/>
    <n v="19603.48"/>
    <n v="25000"/>
  </r>
  <r>
    <d v="2025-07-17T00:00:00"/>
    <n v="2025"/>
    <x v="2"/>
    <x v="2"/>
    <n v="5517.09"/>
    <x v="0"/>
    <n v="19482.91"/>
    <n v="25000"/>
  </r>
  <r>
    <d v="2025-07-19T00:00:00"/>
    <n v="2025"/>
    <x v="2"/>
    <x v="4"/>
    <n v="8746.7900000000009"/>
    <x v="2"/>
    <n v="16253.21"/>
    <n v="25000"/>
  </r>
  <r>
    <d v="2025-07-20T00:00:00"/>
    <n v="2025"/>
    <x v="2"/>
    <x v="4"/>
    <n v="2334.96"/>
    <x v="4"/>
    <n v="22665.040000000001"/>
    <n v="25000"/>
  </r>
  <r>
    <d v="2025-07-21T00:00:00"/>
    <n v="2025"/>
    <x v="2"/>
    <x v="4"/>
    <n v="2371.36"/>
    <x v="2"/>
    <n v="22628.639999999999"/>
    <n v="25000"/>
  </r>
  <r>
    <d v="2025-07-21T00:00:00"/>
    <n v="2025"/>
    <x v="2"/>
    <x v="1"/>
    <n v="7534.83"/>
    <x v="4"/>
    <n v="17465.170000000002"/>
    <n v="25000"/>
  </r>
  <r>
    <d v="2025-07-21T00:00:00"/>
    <n v="2025"/>
    <x v="2"/>
    <x v="2"/>
    <n v="3086.1"/>
    <x v="2"/>
    <n v="21913.9"/>
    <n v="25000"/>
  </r>
  <r>
    <d v="2025-07-22T00:00:00"/>
    <n v="2025"/>
    <x v="2"/>
    <x v="5"/>
    <n v="4063.98"/>
    <x v="0"/>
    <n v="20936.02"/>
    <n v="25000"/>
  </r>
  <r>
    <d v="2025-07-22T00:00:00"/>
    <n v="2025"/>
    <x v="2"/>
    <x v="2"/>
    <n v="4549.55"/>
    <x v="2"/>
    <n v="20450.450000000004"/>
    <n v="25000.000000000004"/>
  </r>
  <r>
    <d v="2025-07-22T00:00:00"/>
    <n v="2025"/>
    <x v="2"/>
    <x v="5"/>
    <n v="9541.1"/>
    <x v="2"/>
    <n v="15458.900000000001"/>
    <n v="25000"/>
  </r>
  <r>
    <d v="2025-07-22T00:00:00"/>
    <n v="2025"/>
    <x v="2"/>
    <x v="1"/>
    <n v="2299.38"/>
    <x v="2"/>
    <n v="22700.619999999995"/>
    <n v="24999.999999999996"/>
  </r>
  <r>
    <d v="2025-07-23T00:00:00"/>
    <n v="2025"/>
    <x v="2"/>
    <x v="4"/>
    <n v="1122.45"/>
    <x v="4"/>
    <n v="23877.549999999996"/>
    <n v="24999.999999999996"/>
  </r>
  <r>
    <d v="2025-07-24T00:00:00"/>
    <n v="2025"/>
    <x v="2"/>
    <x v="0"/>
    <n v="8026.52"/>
    <x v="1"/>
    <n v="16973.48"/>
    <n v="25000"/>
  </r>
  <r>
    <d v="2025-07-25T00:00:00"/>
    <n v="2025"/>
    <x v="2"/>
    <x v="3"/>
    <n v="9206.7999999999993"/>
    <x v="2"/>
    <n v="15793.2"/>
    <n v="25000"/>
  </r>
  <r>
    <d v="2025-07-27T00:00:00"/>
    <n v="2025"/>
    <x v="2"/>
    <x v="4"/>
    <n v="2790.26"/>
    <x v="3"/>
    <n v="22209.739999999998"/>
    <n v="25000"/>
  </r>
  <r>
    <d v="2025-07-27T00:00:00"/>
    <n v="2025"/>
    <x v="2"/>
    <x v="3"/>
    <n v="7658.56"/>
    <x v="3"/>
    <n v="17341.439999999999"/>
    <n v="25000"/>
  </r>
  <r>
    <d v="2025-07-27T00:00:00"/>
    <n v="2025"/>
    <x v="2"/>
    <x v="3"/>
    <n v="6692.71"/>
    <x v="1"/>
    <n v="18307.29"/>
    <n v="25000"/>
  </r>
  <r>
    <d v="2025-07-28T00:00:00"/>
    <n v="2025"/>
    <x v="2"/>
    <x v="3"/>
    <n v="8465.39"/>
    <x v="4"/>
    <n v="16534.61"/>
    <n v="25000"/>
  </r>
  <r>
    <d v="2025-07-29T00:00:00"/>
    <n v="2025"/>
    <x v="2"/>
    <x v="2"/>
    <n v="7909.6"/>
    <x v="3"/>
    <n v="17090.399999999998"/>
    <n v="25000"/>
  </r>
  <r>
    <d v="2025-07-29T00:00:00"/>
    <n v="2025"/>
    <x v="2"/>
    <x v="4"/>
    <n v="7056.31"/>
    <x v="0"/>
    <n v="17943.689999999999"/>
    <n v="25000"/>
  </r>
  <r>
    <d v="2025-07-29T00:00:00"/>
    <n v="2025"/>
    <x v="2"/>
    <x v="4"/>
    <n v="1471.14"/>
    <x v="3"/>
    <n v="23528.86"/>
    <n v="2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BDDACF-84E1-4333-B268-FE13BF2392A3}" name="Tab_Rank" cacheId="5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9" rowHeaderCaption="Vendedor">
  <location ref="G19:H22" firstHeaderRow="1" firstDataRow="1" firstDataCol="1"/>
  <pivotFields count="8">
    <pivotField numFmtId="14" showAll="0"/>
    <pivotField showAll="0"/>
    <pivotField showAll="0">
      <items count="4">
        <item x="0"/>
        <item x="1"/>
        <item x="2"/>
        <item t="default"/>
      </items>
    </pivotField>
    <pivotField axis="axisRow" showAll="0" measureFilter="1" sortType="ascending">
      <items count="7">
        <item x="5"/>
        <item x="0"/>
        <item x="1"/>
        <item x="4"/>
        <item x="3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8" showAll="0"/>
    <pivotField showAll="0">
      <items count="6">
        <item x="0"/>
        <item x="3"/>
        <item x="4"/>
        <item x="2"/>
        <item x="1"/>
        <item t="default"/>
      </items>
    </pivotField>
    <pivotField numFmtId="8" showAll="0"/>
    <pivotField numFmtId="8" showAll="0"/>
  </pivotFields>
  <rowFields count="1">
    <field x="3"/>
  </rowFields>
  <rowItems count="3">
    <i>
      <x v="3"/>
    </i>
    <i>
      <x v="4"/>
    </i>
    <i>
      <x v="5"/>
    </i>
  </rowItems>
  <colItems count="1">
    <i/>
  </colItems>
  <dataFields count="1">
    <dataField name="Faturamento" fld="4" baseField="0" baseItem="0" numFmtId="8"/>
  </dataFields>
  <formats count="1">
    <format dxfId="42">
      <pivotArea outline="0" collapsedLevelsAreSubtotals="1" fieldPosition="0"/>
    </format>
  </format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8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1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76D563-EB13-44EB-B703-43E62A993870}" name="Tab_Vendedor_Qtde_vendas" cacheId="5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4" rowHeaderCaption="Vendedor">
  <location ref="J13:K19" firstHeaderRow="1" firstDataRow="1" firstDataCol="1"/>
  <pivotFields count="8">
    <pivotField numFmtId="14" showAll="0"/>
    <pivotField showAll="0"/>
    <pivotField showAll="0">
      <items count="4">
        <item x="0"/>
        <item x="1"/>
        <item x="2"/>
        <item t="default"/>
      </items>
    </pivotField>
    <pivotField axis="axisRow" dataField="1" showAll="0">
      <items count="7">
        <item x="5"/>
        <item x="0"/>
        <item x="1"/>
        <item x="4"/>
        <item x="3"/>
        <item x="2"/>
        <item t="default"/>
      </items>
    </pivotField>
    <pivotField numFmtId="8" showAll="0"/>
    <pivotField showAll="0">
      <items count="6">
        <item x="0"/>
        <item x="3"/>
        <item x="4"/>
        <item x="2"/>
        <item x="1"/>
        <item t="default"/>
      </items>
    </pivotField>
    <pivotField numFmtId="8" showAll="0"/>
    <pivotField numFmtId="8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Qtde Vendas" fld="3" subtotal="count" baseField="0" baseItem="0"/>
  </dataFields>
  <formats count="1">
    <format dxfId="43">
      <pivotArea outline="0" collapsedLevelsAreSubtotals="1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3A6444-9DF8-4D93-8756-AC6763BC1475}" name="Tab_Faturamento_Meta" cacheId="5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rowHeaderCaption="Vendedor">
  <location ref="N4:P10" firstHeaderRow="0" firstDataRow="1" firstDataCol="1"/>
  <pivotFields count="8">
    <pivotField numFmtId="14"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7">
        <item x="5"/>
        <item x="0"/>
        <item x="1"/>
        <item x="4"/>
        <item x="3"/>
        <item x="2"/>
        <item t="default"/>
      </items>
    </pivotField>
    <pivotField dataField="1" numFmtId="8" showAll="0"/>
    <pivotField showAll="0">
      <items count="6">
        <item x="0"/>
        <item x="3"/>
        <item x="4"/>
        <item x="2"/>
        <item x="1"/>
        <item t="default"/>
      </items>
    </pivotField>
    <pivotField dataField="1" numFmtId="8" showAll="0"/>
    <pivotField numFmtId="8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Faturamento" fld="4" baseField="0" baseItem="0" numFmtId="8"/>
    <dataField name="Soma de Estimado" fld="6" baseField="0" baseItem="0"/>
  </dataFields>
  <formats count="1">
    <format dxfId="4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BB45BC-8881-44FB-9E79-0CB0A5E0B502}" name="Tab_Faturamento_Vendedor" cacheId="5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4" rowHeaderCaption="Vendedor">
  <location ref="J4:K10" firstHeaderRow="1" firstDataRow="1" firstDataCol="1"/>
  <pivotFields count="8">
    <pivotField numFmtId="14"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7">
        <item x="5"/>
        <item x="0"/>
        <item x="1"/>
        <item x="4"/>
        <item x="3"/>
        <item x="2"/>
        <item t="default"/>
      </items>
    </pivotField>
    <pivotField dataField="1" numFmtId="8" showAll="0"/>
    <pivotField showAll="0">
      <items count="6">
        <item x="0"/>
        <item x="3"/>
        <item x="4"/>
        <item x="2"/>
        <item x="1"/>
        <item t="default"/>
      </items>
    </pivotField>
    <pivotField numFmtId="8" showAll="0"/>
    <pivotField numFmtId="8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Faturamento" fld="4" baseField="0" baseItem="0" numFmtId="8"/>
  </dataFields>
  <formats count="1">
    <format dxfId="45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0AF715-874A-499B-B0DD-63BD1B8CA8CF}" name="Tab_Faturamento_Regiao" cacheId="5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5" rowHeaderCaption="Regiao">
  <location ref="F4:G9" firstHeaderRow="1" firstDataRow="1" firstDataCol="1"/>
  <pivotFields count="8">
    <pivotField numFmtId="14" showAll="0"/>
    <pivotField showAll="0"/>
    <pivotField showAll="0">
      <items count="4">
        <item x="0"/>
        <item x="1"/>
        <item x="2"/>
        <item t="default"/>
      </items>
    </pivotField>
    <pivotField showAll="0"/>
    <pivotField dataField="1" numFmtId="8" showAll="0"/>
    <pivotField axis="axisRow" showAll="0" sortType="ascending">
      <items count="6">
        <item x="0"/>
        <item x="3"/>
        <item x="4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8" showAll="0"/>
    <pivotField numFmtId="8" showAll="0"/>
  </pivotFields>
  <rowFields count="1">
    <field x="5"/>
  </rowFields>
  <rowItems count="5">
    <i>
      <x/>
    </i>
    <i>
      <x v="2"/>
    </i>
    <i>
      <x v="4"/>
    </i>
    <i>
      <x v="1"/>
    </i>
    <i>
      <x v="3"/>
    </i>
  </rowItems>
  <colItems count="1">
    <i/>
  </colItems>
  <dataFields count="1">
    <dataField name="Faturamento" fld="4" baseField="0" baseItem="0" numFmtId="8"/>
  </dataFields>
  <formats count="1">
    <format dxfId="46">
      <pivotArea outline="0" collapsedLevelsAreSubtotals="1" fieldPosition="0"/>
    </format>
  </format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814A87D3-82AF-4CF5-A301-477482F51DD9}" sourceName="Mês">
  <pivotTables>
    <pivotTable tabId="3" name="Tab_Faturamento_Regiao"/>
    <pivotTable tabId="3" name="Tab_Faturamento_Meta"/>
    <pivotTable tabId="3" name="Tab_Faturamento_Vendedor"/>
    <pivotTable tabId="3" name="Tab_Rank"/>
    <pivotTable tabId="3" name="Tab_Vendedor_Qtde_vendas"/>
  </pivotTables>
  <data>
    <tabular pivotCacheId="1961986196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gião" xr10:uid="{E777CF05-8829-4E77-B9C3-BF6E839579EF}" sourceName="Região">
  <pivotTables>
    <pivotTable tabId="3" name="Tab_Faturamento_Regiao"/>
  </pivotTables>
  <data>
    <tabular pivotCacheId="1961986196">
      <items count="5">
        <i x="0" s="1"/>
        <i x="3" s="1"/>
        <i x="4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BB18568F-125A-41E5-B824-E7CF4ACB9186}" cache="SegmentaçãodeDados_Mês" caption="Mês" style="Estilo de Segmentação de Dados 1" rowHeight="241300"/>
  <slicer name="Região" xr10:uid="{5C7BF56C-1799-47DC-B02D-2AE88E07B0E8}" cache="SegmentaçãodeDados_Região" caption="Região" style="Estilo de Segmentação de Dad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BFD005-3865-4FFE-AA76-3977204254C9}" name="BaseVendas" displayName="BaseVendas" ref="C1:J151" totalsRowShown="0" headerRowDxfId="47" headerRowBorderDxfId="54" tableBorderDxfId="53">
  <autoFilter ref="C1:J151" xr:uid="{3BBFD005-3865-4FFE-AA76-3977204254C9}"/>
  <sortState xmlns:xlrd2="http://schemas.microsoft.com/office/spreadsheetml/2017/richdata2" ref="C2:H151">
    <sortCondition ref="C1:C151"/>
  </sortState>
  <tableColumns count="8">
    <tableColumn id="1" xr3:uid="{18F6759B-7C72-4974-A962-A1B4B79E3AC4}" name="Data" dataDxfId="52"/>
    <tableColumn id="5" xr3:uid="{FA431F17-A278-43C5-AD60-12C5011F6EDA}" name="Ano" dataDxfId="51">
      <calculatedColumnFormula>YEAR(BaseVendas[[#This Row],[Data]])</calculatedColumnFormula>
    </tableColumn>
    <tableColumn id="6" xr3:uid="{385C447A-8D6E-45C7-9302-74C9D8ED98E3}" name="Mês" dataDxfId="50">
      <calculatedColumnFormula>PROPER(TEXT(BaseVendas[[#This Row],[Data]],"mmm"))</calculatedColumnFormula>
    </tableColumn>
    <tableColumn id="2" xr3:uid="{0E40F48A-DD82-40B7-8B07-55F101C411AD}" name="Vendedor"/>
    <tableColumn id="3" xr3:uid="{D093F5B3-3FDA-4E33-9765-D062F1800EA9}" name="Valor" dataDxfId="49"/>
    <tableColumn id="4" xr3:uid="{B1764EF1-956C-4CB4-BB98-4F041AE86D6C}" name="Região"/>
    <tableColumn id="7" xr3:uid="{7ACEB819-C601-443A-8254-CA3FBE9783D5}" name="Estimado" dataDxfId="48"/>
    <tableColumn id="8" xr3:uid="{68E11D81-EF63-4C75-9B5F-BA0677DDB6BF}" name="Meta">
      <calculatedColumnFormula>BaseVendas[[#This Row],[Valor]]+BaseVendas[[#This Row],[Estimado]]</calculatedColumnFormula>
    </tableColumn>
  </tableColumns>
  <tableStyleInfo name="novo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9EAA0-D7F9-4FA7-8CB3-EAAFF66E58E8}">
  <sheetPr codeName="Planilha1"/>
  <dimension ref="A1:X32"/>
  <sheetViews>
    <sheetView showGridLines="0" topLeftCell="A13" zoomScale="120" zoomScaleNormal="120" workbookViewId="0">
      <selection activeCell="G36" sqref="G36"/>
    </sheetView>
  </sheetViews>
  <sheetFormatPr defaultRowHeight="15" x14ac:dyDescent="0.25"/>
  <sheetData>
    <row r="1" spans="1:24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</row>
    <row r="2" spans="1:24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</row>
    <row r="3" spans="1:24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</row>
    <row r="4" spans="1:24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spans="1:24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</row>
    <row r="7" spans="1:24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</row>
    <row r="8" spans="1:24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spans="1:24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</row>
    <row r="10" spans="1:24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spans="1:24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</row>
    <row r="12" spans="1:24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</row>
    <row r="13" spans="1:24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</row>
    <row r="14" spans="1:24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</row>
    <row r="15" spans="1:24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</row>
    <row r="16" spans="1:24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</row>
    <row r="17" spans="1:24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</row>
    <row r="18" spans="1:24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spans="1:24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</row>
    <row r="20" spans="1:24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</row>
    <row r="21" spans="1:24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</row>
    <row r="22" spans="1:24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</row>
    <row r="23" spans="1:24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</row>
    <row r="24" spans="1:24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</row>
    <row r="25" spans="1:24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</row>
    <row r="26" spans="1:24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</row>
    <row r="27" spans="1:24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spans="1:24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spans="1:24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spans="1:24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24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24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N151"/>
  <sheetViews>
    <sheetView showGridLines="0" zoomScale="120" zoomScaleNormal="120" workbookViewId="0">
      <pane xSplit="4" ySplit="11" topLeftCell="E12" activePane="bottomRight" state="frozen"/>
      <selection pane="topRight" activeCell="E1" sqref="E1"/>
      <selection pane="bottomLeft" activeCell="A12" sqref="A12"/>
      <selection pane="bottomRight" activeCell="M19" sqref="M19"/>
    </sheetView>
  </sheetViews>
  <sheetFormatPr defaultRowHeight="15" x14ac:dyDescent="0.25"/>
  <cols>
    <col min="1" max="1" width="32.28515625" customWidth="1"/>
    <col min="3" max="3" width="11.28515625" bestFit="1" customWidth="1"/>
    <col min="4" max="4" width="10.7109375" customWidth="1"/>
    <col min="5" max="5" width="12" customWidth="1"/>
    <col min="6" max="6" width="10.7109375" bestFit="1" customWidth="1"/>
    <col min="7" max="8" width="13.140625" bestFit="1" customWidth="1"/>
    <col min="9" max="9" width="12.7109375" bestFit="1" customWidth="1"/>
    <col min="10" max="10" width="12.42578125" bestFit="1" customWidth="1"/>
    <col min="14" max="14" width="10.85546875" bestFit="1" customWidth="1"/>
  </cols>
  <sheetData>
    <row r="1" spans="1:14" x14ac:dyDescent="0.25">
      <c r="C1" s="6" t="s">
        <v>0</v>
      </c>
      <c r="D1" s="6" t="s">
        <v>16</v>
      </c>
      <c r="E1" s="6" t="s">
        <v>17</v>
      </c>
      <c r="F1" s="6" t="s">
        <v>1</v>
      </c>
      <c r="G1" s="6" t="s">
        <v>2</v>
      </c>
      <c r="H1" s="6" t="s">
        <v>3</v>
      </c>
      <c r="I1" s="6" t="s">
        <v>19</v>
      </c>
      <c r="J1" s="6" t="s">
        <v>18</v>
      </c>
    </row>
    <row r="2" spans="1:14" x14ac:dyDescent="0.25">
      <c r="C2" s="1">
        <v>45778</v>
      </c>
      <c r="D2" s="4">
        <f>YEAR(BaseVendas[[#This Row],[Data]])</f>
        <v>2025</v>
      </c>
      <c r="E2" s="1" t="str">
        <f>PROPER(TEXT(BaseVendas[[#This Row],[Data]],"mmm"))</f>
        <v>Mai</v>
      </c>
      <c r="F2" t="s">
        <v>6</v>
      </c>
      <c r="G2" s="3">
        <v>9325.82</v>
      </c>
      <c r="H2" t="s">
        <v>11</v>
      </c>
      <c r="I2" s="3">
        <v>15674.18</v>
      </c>
      <c r="J2" s="3">
        <f>BaseVendas[[#This Row],[Valor]]+BaseVendas[[#This Row],[Estimado]]</f>
        <v>25000</v>
      </c>
    </row>
    <row r="3" spans="1:14" x14ac:dyDescent="0.25">
      <c r="C3" s="1">
        <v>45779</v>
      </c>
      <c r="D3" s="4">
        <f>YEAR(BaseVendas[[#This Row],[Data]])</f>
        <v>2025</v>
      </c>
      <c r="E3" s="1" t="str">
        <f>PROPER(TEXT(BaseVendas[[#This Row],[Data]],"mmm"))</f>
        <v>Mai</v>
      </c>
      <c r="F3" t="s">
        <v>4</v>
      </c>
      <c r="G3" s="3">
        <v>4008.66</v>
      </c>
      <c r="H3" t="s">
        <v>14</v>
      </c>
      <c r="I3" s="3">
        <v>20991.34</v>
      </c>
      <c r="J3" s="3">
        <f>BaseVendas[[#This Row],[Valor]]+BaseVendas[[#This Row],[Estimado]]</f>
        <v>25000</v>
      </c>
    </row>
    <row r="4" spans="1:14" x14ac:dyDescent="0.25">
      <c r="C4" s="1">
        <v>45780</v>
      </c>
      <c r="D4" s="4">
        <f>YEAR(BaseVendas[[#This Row],[Data]])</f>
        <v>2025</v>
      </c>
      <c r="E4" s="1" t="str">
        <f>PROPER(TEXT(BaseVendas[[#This Row],[Data]],"mmm"))</f>
        <v>Mai</v>
      </c>
      <c r="F4" t="s">
        <v>7</v>
      </c>
      <c r="G4" s="3">
        <v>1504.79</v>
      </c>
      <c r="H4" t="s">
        <v>12</v>
      </c>
      <c r="I4" s="3">
        <v>23495.21</v>
      </c>
      <c r="J4" s="3">
        <f>BaseVendas[[#This Row],[Valor]]+BaseVendas[[#This Row],[Estimado]]</f>
        <v>25000</v>
      </c>
    </row>
    <row r="5" spans="1:14" x14ac:dyDescent="0.25">
      <c r="C5" s="1">
        <v>45781</v>
      </c>
      <c r="D5" s="4">
        <f>YEAR(BaseVendas[[#This Row],[Data]])</f>
        <v>2025</v>
      </c>
      <c r="E5" s="1" t="str">
        <f>PROPER(TEXT(BaseVendas[[#This Row],[Data]],"mmm"))</f>
        <v>Mai</v>
      </c>
      <c r="F5" t="s">
        <v>8</v>
      </c>
      <c r="G5" s="3">
        <v>1511.12</v>
      </c>
      <c r="H5" t="s">
        <v>13</v>
      </c>
      <c r="I5" s="3">
        <v>23488.880000000005</v>
      </c>
      <c r="J5" s="3">
        <f>BaseVendas[[#This Row],[Valor]]+BaseVendas[[#This Row],[Estimado]]</f>
        <v>25000.000000000004</v>
      </c>
    </row>
    <row r="6" spans="1:14" x14ac:dyDescent="0.25">
      <c r="C6" s="1">
        <v>45781</v>
      </c>
      <c r="D6" s="4">
        <f>YEAR(BaseVendas[[#This Row],[Data]])</f>
        <v>2025</v>
      </c>
      <c r="E6" s="1" t="str">
        <f>PROPER(TEXT(BaseVendas[[#This Row],[Data]],"mmm"))</f>
        <v>Mai</v>
      </c>
      <c r="F6" t="s">
        <v>4</v>
      </c>
      <c r="G6" s="3">
        <v>2354.69</v>
      </c>
      <c r="H6" t="s">
        <v>14</v>
      </c>
      <c r="I6" s="3">
        <v>22645.309999999998</v>
      </c>
      <c r="J6" s="3">
        <f>BaseVendas[[#This Row],[Valor]]+BaseVendas[[#This Row],[Estimado]]</f>
        <v>24999.999999999996</v>
      </c>
      <c r="N6" s="3"/>
    </row>
    <row r="7" spans="1:14" x14ac:dyDescent="0.25">
      <c r="C7" s="1">
        <v>45781</v>
      </c>
      <c r="D7" s="4">
        <f>YEAR(BaseVendas[[#This Row],[Data]])</f>
        <v>2025</v>
      </c>
      <c r="E7" s="1" t="str">
        <f>PROPER(TEXT(BaseVendas[[#This Row],[Data]],"mmm"))</f>
        <v>Mai</v>
      </c>
      <c r="F7" t="s">
        <v>4</v>
      </c>
      <c r="G7" s="3">
        <v>8255.43</v>
      </c>
      <c r="H7" t="s">
        <v>12</v>
      </c>
      <c r="I7" s="3">
        <v>16744.57</v>
      </c>
      <c r="J7" s="3">
        <f>BaseVendas[[#This Row],[Valor]]+BaseVendas[[#This Row],[Estimado]]</f>
        <v>25000</v>
      </c>
    </row>
    <row r="8" spans="1:14" x14ac:dyDescent="0.25">
      <c r="C8" s="1">
        <v>45782</v>
      </c>
      <c r="D8" s="4">
        <f>YEAR(BaseVendas[[#This Row],[Data]])</f>
        <v>2025</v>
      </c>
      <c r="E8" s="1" t="str">
        <f>PROPER(TEXT(BaseVendas[[#This Row],[Data]],"mmm"))</f>
        <v>Mai</v>
      </c>
      <c r="F8" t="s">
        <v>7</v>
      </c>
      <c r="G8" s="3">
        <v>3690.39</v>
      </c>
      <c r="H8" t="s">
        <v>10</v>
      </c>
      <c r="I8" s="3">
        <v>21309.61</v>
      </c>
      <c r="J8" s="3">
        <f>BaseVendas[[#This Row],[Valor]]+BaseVendas[[#This Row],[Estimado]]</f>
        <v>25000</v>
      </c>
    </row>
    <row r="9" spans="1:14" x14ac:dyDescent="0.25">
      <c r="C9" s="1">
        <v>45783</v>
      </c>
      <c r="D9" s="4">
        <f>YEAR(BaseVendas[[#This Row],[Data]])</f>
        <v>2025</v>
      </c>
      <c r="E9" s="1" t="str">
        <f>PROPER(TEXT(BaseVendas[[#This Row],[Data]],"mmm"))</f>
        <v>Mai</v>
      </c>
      <c r="F9" t="s">
        <v>7</v>
      </c>
      <c r="G9" s="3">
        <v>9906.31</v>
      </c>
      <c r="H9" t="s">
        <v>13</v>
      </c>
      <c r="I9" s="3">
        <v>15093.690000000002</v>
      </c>
      <c r="J9" s="3">
        <f>BaseVendas[[#This Row],[Valor]]+BaseVendas[[#This Row],[Estimado]]</f>
        <v>25000</v>
      </c>
    </row>
    <row r="10" spans="1:14" x14ac:dyDescent="0.25">
      <c r="C10" s="1">
        <v>45784</v>
      </c>
      <c r="D10" s="4">
        <f>YEAR(BaseVendas[[#This Row],[Data]])</f>
        <v>2025</v>
      </c>
      <c r="E10" s="1" t="str">
        <f>PROPER(TEXT(BaseVendas[[#This Row],[Data]],"mmm"))</f>
        <v>Mai</v>
      </c>
      <c r="F10" t="s">
        <v>9</v>
      </c>
      <c r="G10" s="3">
        <v>2491.15</v>
      </c>
      <c r="H10" t="s">
        <v>10</v>
      </c>
      <c r="I10" s="3">
        <v>22508.85</v>
      </c>
      <c r="J10" s="3">
        <f>BaseVendas[[#This Row],[Valor]]+BaseVendas[[#This Row],[Estimado]]</f>
        <v>25000</v>
      </c>
    </row>
    <row r="11" spans="1:14" x14ac:dyDescent="0.25">
      <c r="A11" s="5" t="s">
        <v>20</v>
      </c>
      <c r="C11" s="1">
        <v>45784</v>
      </c>
      <c r="D11" s="4">
        <f>YEAR(BaseVendas[[#This Row],[Data]])</f>
        <v>2025</v>
      </c>
      <c r="E11" s="1" t="str">
        <f>PROPER(TEXT(BaseVendas[[#This Row],[Data]],"mmm"))</f>
        <v>Mai</v>
      </c>
      <c r="F11" t="s">
        <v>8</v>
      </c>
      <c r="G11" s="3">
        <v>4311.93</v>
      </c>
      <c r="H11" t="s">
        <v>11</v>
      </c>
      <c r="I11" s="3">
        <v>20688.07</v>
      </c>
      <c r="J11" s="3">
        <f>BaseVendas[[#This Row],[Valor]]+BaseVendas[[#This Row],[Estimado]]</f>
        <v>25000</v>
      </c>
    </row>
    <row r="12" spans="1:14" x14ac:dyDescent="0.25">
      <c r="C12" s="1">
        <v>45785</v>
      </c>
      <c r="D12" s="4">
        <f>YEAR(BaseVendas[[#This Row],[Data]])</f>
        <v>2025</v>
      </c>
      <c r="E12" s="1" t="str">
        <f>PROPER(TEXT(BaseVendas[[#This Row],[Data]],"mmm"))</f>
        <v>Mai</v>
      </c>
      <c r="F12" t="s">
        <v>7</v>
      </c>
      <c r="G12" s="3">
        <v>6558.92</v>
      </c>
      <c r="H12" t="s">
        <v>11</v>
      </c>
      <c r="I12" s="3">
        <v>18441.080000000002</v>
      </c>
      <c r="J12" s="3">
        <f>BaseVendas[[#This Row],[Valor]]+BaseVendas[[#This Row],[Estimado]]</f>
        <v>25000</v>
      </c>
    </row>
    <row r="13" spans="1:14" x14ac:dyDescent="0.25">
      <c r="C13" s="1">
        <v>45786</v>
      </c>
      <c r="D13" s="4">
        <f>YEAR(BaseVendas[[#This Row],[Data]])</f>
        <v>2025</v>
      </c>
      <c r="E13" s="1" t="str">
        <f>PROPER(TEXT(BaseVendas[[#This Row],[Data]],"mmm"))</f>
        <v>Mai</v>
      </c>
      <c r="F13" t="s">
        <v>7</v>
      </c>
      <c r="G13" s="3">
        <v>4713.67</v>
      </c>
      <c r="H13" t="s">
        <v>14</v>
      </c>
      <c r="I13" s="3">
        <v>20286.330000000002</v>
      </c>
      <c r="J13" s="3">
        <f>BaseVendas[[#This Row],[Valor]]+BaseVendas[[#This Row],[Estimado]]</f>
        <v>25000</v>
      </c>
    </row>
    <row r="14" spans="1:14" x14ac:dyDescent="0.25">
      <c r="C14" s="1">
        <v>45786</v>
      </c>
      <c r="D14" s="4">
        <f>YEAR(BaseVendas[[#This Row],[Data]])</f>
        <v>2025</v>
      </c>
      <c r="E14" s="1" t="str">
        <f>PROPER(TEXT(BaseVendas[[#This Row],[Data]],"mmm"))</f>
        <v>Mai</v>
      </c>
      <c r="F14" t="s">
        <v>9</v>
      </c>
      <c r="G14" s="3">
        <v>5805.16</v>
      </c>
      <c r="H14" t="s">
        <v>13</v>
      </c>
      <c r="I14" s="3">
        <v>19194.84</v>
      </c>
      <c r="J14" s="3">
        <f>BaseVendas[[#This Row],[Valor]]+BaseVendas[[#This Row],[Estimado]]</f>
        <v>25000</v>
      </c>
    </row>
    <row r="15" spans="1:14" x14ac:dyDescent="0.25">
      <c r="C15" s="1">
        <v>45786</v>
      </c>
      <c r="D15" s="4">
        <f>YEAR(BaseVendas[[#This Row],[Data]])</f>
        <v>2025</v>
      </c>
      <c r="E15" s="1" t="str">
        <f>PROPER(TEXT(BaseVendas[[#This Row],[Data]],"mmm"))</f>
        <v>Mai</v>
      </c>
      <c r="F15" t="s">
        <v>6</v>
      </c>
      <c r="G15" s="3">
        <v>5164.6899999999996</v>
      </c>
      <c r="H15" t="s">
        <v>10</v>
      </c>
      <c r="I15" s="3">
        <v>19835.310000000005</v>
      </c>
      <c r="J15" s="3">
        <f>BaseVendas[[#This Row],[Valor]]+BaseVendas[[#This Row],[Estimado]]</f>
        <v>25000.000000000004</v>
      </c>
    </row>
    <row r="16" spans="1:14" x14ac:dyDescent="0.25">
      <c r="C16" s="1">
        <v>45786</v>
      </c>
      <c r="D16" s="4">
        <f>YEAR(BaseVendas[[#This Row],[Data]])</f>
        <v>2025</v>
      </c>
      <c r="E16" s="1" t="str">
        <f>PROPER(TEXT(BaseVendas[[#This Row],[Data]],"mmm"))</f>
        <v>Mai</v>
      </c>
      <c r="F16" t="s">
        <v>5</v>
      </c>
      <c r="G16" s="3">
        <v>4828.28</v>
      </c>
      <c r="H16" t="s">
        <v>13</v>
      </c>
      <c r="I16" s="3">
        <v>20171.72</v>
      </c>
      <c r="J16" s="3">
        <f>BaseVendas[[#This Row],[Valor]]+BaseVendas[[#This Row],[Estimado]]</f>
        <v>25000</v>
      </c>
    </row>
    <row r="17" spans="3:10" x14ac:dyDescent="0.25">
      <c r="C17" s="1">
        <v>45787</v>
      </c>
      <c r="D17" s="4">
        <f>YEAR(BaseVendas[[#This Row],[Data]])</f>
        <v>2025</v>
      </c>
      <c r="E17" s="1" t="str">
        <f>PROPER(TEXT(BaseVendas[[#This Row],[Data]],"mmm"))</f>
        <v>Mai</v>
      </c>
      <c r="F17" t="s">
        <v>9</v>
      </c>
      <c r="G17" s="3">
        <v>9805.7000000000007</v>
      </c>
      <c r="H17" t="s">
        <v>13</v>
      </c>
      <c r="I17" s="3">
        <v>15194.3</v>
      </c>
      <c r="J17" s="3">
        <f>BaseVendas[[#This Row],[Valor]]+BaseVendas[[#This Row],[Estimado]]</f>
        <v>25000</v>
      </c>
    </row>
    <row r="18" spans="3:10" x14ac:dyDescent="0.25">
      <c r="C18" s="1">
        <v>45787</v>
      </c>
      <c r="D18" s="4">
        <f>YEAR(BaseVendas[[#This Row],[Data]])</f>
        <v>2025</v>
      </c>
      <c r="E18" s="1" t="str">
        <f>PROPER(TEXT(BaseVendas[[#This Row],[Data]],"mmm"))</f>
        <v>Mai</v>
      </c>
      <c r="F18" t="s">
        <v>9</v>
      </c>
      <c r="G18" s="3">
        <v>3142.83</v>
      </c>
      <c r="H18" t="s">
        <v>12</v>
      </c>
      <c r="I18" s="3">
        <v>21857.17</v>
      </c>
      <c r="J18" s="3">
        <f>BaseVendas[[#This Row],[Valor]]+BaseVendas[[#This Row],[Estimado]]</f>
        <v>25000</v>
      </c>
    </row>
    <row r="19" spans="3:10" x14ac:dyDescent="0.25">
      <c r="C19" s="1">
        <v>45789</v>
      </c>
      <c r="D19" s="4">
        <f>YEAR(BaseVendas[[#This Row],[Data]])</f>
        <v>2025</v>
      </c>
      <c r="E19" s="1" t="str">
        <f>PROPER(TEXT(BaseVendas[[#This Row],[Data]],"mmm"))</f>
        <v>Mai</v>
      </c>
      <c r="F19" t="s">
        <v>7</v>
      </c>
      <c r="G19" s="3">
        <v>6264.12</v>
      </c>
      <c r="H19" t="s">
        <v>12</v>
      </c>
      <c r="I19" s="3">
        <v>18735.88</v>
      </c>
      <c r="J19" s="3">
        <f>BaseVendas[[#This Row],[Valor]]+BaseVendas[[#This Row],[Estimado]]</f>
        <v>25000</v>
      </c>
    </row>
    <row r="20" spans="3:10" x14ac:dyDescent="0.25">
      <c r="C20" s="1">
        <v>45789</v>
      </c>
      <c r="D20" s="4">
        <f>YEAR(BaseVendas[[#This Row],[Data]])</f>
        <v>2025</v>
      </c>
      <c r="E20" s="1" t="str">
        <f>PROPER(TEXT(BaseVendas[[#This Row],[Data]],"mmm"))</f>
        <v>Mai</v>
      </c>
      <c r="F20" t="s">
        <v>6</v>
      </c>
      <c r="G20" s="3">
        <v>6566.05</v>
      </c>
      <c r="H20" t="s">
        <v>11</v>
      </c>
      <c r="I20" s="3">
        <v>18433.95</v>
      </c>
      <c r="J20" s="3">
        <f>BaseVendas[[#This Row],[Valor]]+BaseVendas[[#This Row],[Estimado]]</f>
        <v>25000</v>
      </c>
    </row>
    <row r="21" spans="3:10" x14ac:dyDescent="0.25">
      <c r="C21" s="1">
        <v>45789</v>
      </c>
      <c r="D21" s="4">
        <f>YEAR(BaseVendas[[#This Row],[Data]])</f>
        <v>2025</v>
      </c>
      <c r="E21" s="1" t="str">
        <f>PROPER(TEXT(BaseVendas[[#This Row],[Data]],"mmm"))</f>
        <v>Mai</v>
      </c>
      <c r="F21" t="s">
        <v>7</v>
      </c>
      <c r="G21" s="3">
        <v>6369.09</v>
      </c>
      <c r="H21" t="s">
        <v>14</v>
      </c>
      <c r="I21" s="3">
        <v>18630.91</v>
      </c>
      <c r="J21" s="3">
        <f>BaseVendas[[#This Row],[Valor]]+BaseVendas[[#This Row],[Estimado]]</f>
        <v>25000</v>
      </c>
    </row>
    <row r="22" spans="3:10" x14ac:dyDescent="0.25">
      <c r="C22" s="1">
        <v>45789</v>
      </c>
      <c r="D22" s="4">
        <f>YEAR(BaseVendas[[#This Row],[Data]])</f>
        <v>2025</v>
      </c>
      <c r="E22" s="1" t="str">
        <f>PROPER(TEXT(BaseVendas[[#This Row],[Data]],"mmm"))</f>
        <v>Mai</v>
      </c>
      <c r="F22" t="s">
        <v>7</v>
      </c>
      <c r="G22" s="3">
        <v>1349.85</v>
      </c>
      <c r="H22" t="s">
        <v>11</v>
      </c>
      <c r="I22" s="3">
        <v>23650.15</v>
      </c>
      <c r="J22" s="3">
        <f>BaseVendas[[#This Row],[Valor]]+BaseVendas[[#This Row],[Estimado]]</f>
        <v>25000</v>
      </c>
    </row>
    <row r="23" spans="3:10" x14ac:dyDescent="0.25">
      <c r="C23" s="1">
        <v>45790</v>
      </c>
      <c r="D23" s="4">
        <f>YEAR(BaseVendas[[#This Row],[Data]])</f>
        <v>2025</v>
      </c>
      <c r="E23" s="1" t="str">
        <f>PROPER(TEXT(BaseVendas[[#This Row],[Data]],"mmm"))</f>
        <v>Mai</v>
      </c>
      <c r="F23" t="s">
        <v>7</v>
      </c>
      <c r="G23" s="3">
        <v>5725.39</v>
      </c>
      <c r="H23" t="s">
        <v>12</v>
      </c>
      <c r="I23" s="3">
        <v>19274.61</v>
      </c>
      <c r="J23" s="3">
        <f>BaseVendas[[#This Row],[Valor]]+BaseVendas[[#This Row],[Estimado]]</f>
        <v>25000</v>
      </c>
    </row>
    <row r="24" spans="3:10" x14ac:dyDescent="0.25">
      <c r="C24" s="1">
        <v>45792</v>
      </c>
      <c r="D24" s="4">
        <f>YEAR(BaseVendas[[#This Row],[Data]])</f>
        <v>2025</v>
      </c>
      <c r="E24" s="1" t="str">
        <f>PROPER(TEXT(BaseVendas[[#This Row],[Data]],"mmm"))</f>
        <v>Mai</v>
      </c>
      <c r="F24" t="s">
        <v>5</v>
      </c>
      <c r="G24" s="3">
        <v>8057.72</v>
      </c>
      <c r="H24" t="s">
        <v>12</v>
      </c>
      <c r="I24" s="3">
        <v>16942.28</v>
      </c>
      <c r="J24" s="3">
        <f>BaseVendas[[#This Row],[Valor]]+BaseVendas[[#This Row],[Estimado]]</f>
        <v>25000</v>
      </c>
    </row>
    <row r="25" spans="3:10" x14ac:dyDescent="0.25">
      <c r="C25" s="1">
        <v>45792</v>
      </c>
      <c r="D25" s="4">
        <f>YEAR(BaseVendas[[#This Row],[Data]])</f>
        <v>2025</v>
      </c>
      <c r="E25" s="1" t="str">
        <f>PROPER(TEXT(BaseVendas[[#This Row],[Data]],"mmm"))</f>
        <v>Mai</v>
      </c>
      <c r="F25" t="s">
        <v>8</v>
      </c>
      <c r="G25" s="3">
        <v>5111.21</v>
      </c>
      <c r="H25" t="s">
        <v>14</v>
      </c>
      <c r="I25" s="3">
        <v>19888.79</v>
      </c>
      <c r="J25" s="3">
        <f>BaseVendas[[#This Row],[Valor]]+BaseVendas[[#This Row],[Estimado]]</f>
        <v>25000</v>
      </c>
    </row>
    <row r="26" spans="3:10" x14ac:dyDescent="0.25">
      <c r="C26" s="1">
        <v>45793</v>
      </c>
      <c r="D26" s="4">
        <f>YEAR(BaseVendas[[#This Row],[Data]])</f>
        <v>2025</v>
      </c>
      <c r="E26" s="1" t="str">
        <f>PROPER(TEXT(BaseVendas[[#This Row],[Data]],"mmm"))</f>
        <v>Mai</v>
      </c>
      <c r="F26" t="s">
        <v>5</v>
      </c>
      <c r="G26" s="3">
        <v>8748.7099999999991</v>
      </c>
      <c r="H26" t="s">
        <v>11</v>
      </c>
      <c r="I26" s="3">
        <v>16251.29</v>
      </c>
      <c r="J26" s="3">
        <f>BaseVendas[[#This Row],[Valor]]+BaseVendas[[#This Row],[Estimado]]</f>
        <v>25000</v>
      </c>
    </row>
    <row r="27" spans="3:10" x14ac:dyDescent="0.25">
      <c r="C27" s="1">
        <v>45794</v>
      </c>
      <c r="D27" s="4">
        <f>YEAR(BaseVendas[[#This Row],[Data]])</f>
        <v>2025</v>
      </c>
      <c r="E27" s="1" t="str">
        <f>PROPER(TEXT(BaseVendas[[#This Row],[Data]],"mmm"))</f>
        <v>Mai</v>
      </c>
      <c r="F27" t="s">
        <v>5</v>
      </c>
      <c r="G27" s="3">
        <v>5642.29</v>
      </c>
      <c r="H27" t="s">
        <v>10</v>
      </c>
      <c r="I27" s="3">
        <v>19357.71</v>
      </c>
      <c r="J27" s="3">
        <f>BaseVendas[[#This Row],[Valor]]+BaseVendas[[#This Row],[Estimado]]</f>
        <v>25000</v>
      </c>
    </row>
    <row r="28" spans="3:10" x14ac:dyDescent="0.25">
      <c r="C28" s="1">
        <v>45795</v>
      </c>
      <c r="D28" s="4">
        <f>YEAR(BaseVendas[[#This Row],[Data]])</f>
        <v>2025</v>
      </c>
      <c r="E28" s="1" t="str">
        <f>PROPER(TEXT(BaseVendas[[#This Row],[Data]],"mmm"))</f>
        <v>Mai</v>
      </c>
      <c r="F28" t="s">
        <v>4</v>
      </c>
      <c r="G28" s="3">
        <v>3798</v>
      </c>
      <c r="H28" t="s">
        <v>13</v>
      </c>
      <c r="I28" s="3">
        <v>21202</v>
      </c>
      <c r="J28" s="3">
        <f>BaseVendas[[#This Row],[Valor]]+BaseVendas[[#This Row],[Estimado]]</f>
        <v>25000</v>
      </c>
    </row>
    <row r="29" spans="3:10" x14ac:dyDescent="0.25">
      <c r="C29" s="1">
        <v>45795</v>
      </c>
      <c r="D29" s="4">
        <f>YEAR(BaseVendas[[#This Row],[Data]])</f>
        <v>2025</v>
      </c>
      <c r="E29" s="1" t="str">
        <f>PROPER(TEXT(BaseVendas[[#This Row],[Data]],"mmm"))</f>
        <v>Mai</v>
      </c>
      <c r="F29" t="s">
        <v>9</v>
      </c>
      <c r="G29" s="3">
        <v>5562.38</v>
      </c>
      <c r="H29" t="s">
        <v>13</v>
      </c>
      <c r="I29" s="3">
        <v>19437.619999999995</v>
      </c>
      <c r="J29" s="3">
        <f>BaseVendas[[#This Row],[Valor]]+BaseVendas[[#This Row],[Estimado]]</f>
        <v>24999.999999999996</v>
      </c>
    </row>
    <row r="30" spans="3:10" x14ac:dyDescent="0.25">
      <c r="C30" s="1">
        <v>45796</v>
      </c>
      <c r="D30" s="4">
        <f>YEAR(BaseVendas[[#This Row],[Data]])</f>
        <v>2025</v>
      </c>
      <c r="E30" s="1" t="str">
        <f>PROPER(TEXT(BaseVendas[[#This Row],[Data]],"mmm"))</f>
        <v>Mai</v>
      </c>
      <c r="F30" t="s">
        <v>9</v>
      </c>
      <c r="G30" s="3">
        <v>3958.59</v>
      </c>
      <c r="H30" t="s">
        <v>11</v>
      </c>
      <c r="I30" s="3">
        <v>21041.41</v>
      </c>
      <c r="J30" s="3">
        <f>BaseVendas[[#This Row],[Valor]]+BaseVendas[[#This Row],[Estimado]]</f>
        <v>25000</v>
      </c>
    </row>
    <row r="31" spans="3:10" x14ac:dyDescent="0.25">
      <c r="C31" s="1">
        <v>45797</v>
      </c>
      <c r="D31" s="4">
        <f>YEAR(BaseVendas[[#This Row],[Data]])</f>
        <v>2025</v>
      </c>
      <c r="E31" s="1" t="str">
        <f>PROPER(TEXT(BaseVendas[[#This Row],[Data]],"mmm"))</f>
        <v>Mai</v>
      </c>
      <c r="F31" t="s">
        <v>7</v>
      </c>
      <c r="G31" s="3">
        <v>1007.99</v>
      </c>
      <c r="H31" t="s">
        <v>12</v>
      </c>
      <c r="I31" s="3">
        <v>23992.010000000002</v>
      </c>
      <c r="J31" s="3">
        <f>BaseVendas[[#This Row],[Valor]]+BaseVendas[[#This Row],[Estimado]]</f>
        <v>25000.000000000004</v>
      </c>
    </row>
    <row r="32" spans="3:10" x14ac:dyDescent="0.25">
      <c r="C32" s="1">
        <v>45797</v>
      </c>
      <c r="D32" s="4">
        <f>YEAR(BaseVendas[[#This Row],[Data]])</f>
        <v>2025</v>
      </c>
      <c r="E32" s="1" t="str">
        <f>PROPER(TEXT(BaseVendas[[#This Row],[Data]],"mmm"))</f>
        <v>Mai</v>
      </c>
      <c r="F32" t="s">
        <v>9</v>
      </c>
      <c r="G32" s="3">
        <v>4079.18</v>
      </c>
      <c r="H32" t="s">
        <v>10</v>
      </c>
      <c r="I32" s="3">
        <v>20920.82</v>
      </c>
      <c r="J32" s="3">
        <f>BaseVendas[[#This Row],[Valor]]+BaseVendas[[#This Row],[Estimado]]</f>
        <v>25000</v>
      </c>
    </row>
    <row r="33" spans="3:10" x14ac:dyDescent="0.25">
      <c r="C33" s="1">
        <v>45797</v>
      </c>
      <c r="D33" s="4">
        <f>YEAR(BaseVendas[[#This Row],[Data]])</f>
        <v>2025</v>
      </c>
      <c r="E33" s="1" t="str">
        <f>PROPER(TEXT(BaseVendas[[#This Row],[Data]],"mmm"))</f>
        <v>Mai</v>
      </c>
      <c r="F33" t="s">
        <v>6</v>
      </c>
      <c r="G33" s="3">
        <v>4668.8999999999996</v>
      </c>
      <c r="H33" t="s">
        <v>12</v>
      </c>
      <c r="I33" s="3">
        <v>20331.099999999999</v>
      </c>
      <c r="J33" s="3">
        <f>BaseVendas[[#This Row],[Valor]]+BaseVendas[[#This Row],[Estimado]]</f>
        <v>25000</v>
      </c>
    </row>
    <row r="34" spans="3:10" x14ac:dyDescent="0.25">
      <c r="C34" s="1">
        <v>45797</v>
      </c>
      <c r="D34" s="4">
        <f>YEAR(BaseVendas[[#This Row],[Data]])</f>
        <v>2025</v>
      </c>
      <c r="E34" s="1" t="str">
        <f>PROPER(TEXT(BaseVendas[[#This Row],[Data]],"mmm"))</f>
        <v>Mai</v>
      </c>
      <c r="F34" t="s">
        <v>9</v>
      </c>
      <c r="G34" s="3">
        <v>3410.07</v>
      </c>
      <c r="H34" t="s">
        <v>13</v>
      </c>
      <c r="I34" s="3">
        <v>21589.929999999997</v>
      </c>
      <c r="J34" s="3">
        <f>BaseVendas[[#This Row],[Valor]]+BaseVendas[[#This Row],[Estimado]]</f>
        <v>24999.999999999996</v>
      </c>
    </row>
    <row r="35" spans="3:10" x14ac:dyDescent="0.25">
      <c r="C35" s="1">
        <v>45797</v>
      </c>
      <c r="D35" s="4">
        <f>YEAR(BaseVendas[[#This Row],[Data]])</f>
        <v>2025</v>
      </c>
      <c r="E35" s="1" t="str">
        <f>PROPER(TEXT(BaseVendas[[#This Row],[Data]],"mmm"))</f>
        <v>Mai</v>
      </c>
      <c r="F35" t="s">
        <v>9</v>
      </c>
      <c r="G35" s="3">
        <v>9479.52</v>
      </c>
      <c r="H35" t="s">
        <v>14</v>
      </c>
      <c r="I35" s="3">
        <v>15520.48</v>
      </c>
      <c r="J35" s="3">
        <f>BaseVendas[[#This Row],[Valor]]+BaseVendas[[#This Row],[Estimado]]</f>
        <v>25000</v>
      </c>
    </row>
    <row r="36" spans="3:10" x14ac:dyDescent="0.25">
      <c r="C36" s="1">
        <v>45797</v>
      </c>
      <c r="D36" s="4">
        <f>YEAR(BaseVendas[[#This Row],[Data]])</f>
        <v>2025</v>
      </c>
      <c r="E36" s="1" t="str">
        <f>PROPER(TEXT(BaseVendas[[#This Row],[Data]],"mmm"))</f>
        <v>Mai</v>
      </c>
      <c r="F36" t="s">
        <v>4</v>
      </c>
      <c r="G36" s="3">
        <v>3705.77</v>
      </c>
      <c r="H36" t="s">
        <v>13</v>
      </c>
      <c r="I36" s="3">
        <v>21294.23</v>
      </c>
      <c r="J36" s="3">
        <f>BaseVendas[[#This Row],[Valor]]+BaseVendas[[#This Row],[Estimado]]</f>
        <v>25000</v>
      </c>
    </row>
    <row r="37" spans="3:10" x14ac:dyDescent="0.25">
      <c r="C37" s="1">
        <v>45797</v>
      </c>
      <c r="D37" s="4">
        <f>YEAR(BaseVendas[[#This Row],[Data]])</f>
        <v>2025</v>
      </c>
      <c r="E37" s="1" t="str">
        <f>PROPER(TEXT(BaseVendas[[#This Row],[Data]],"mmm"))</f>
        <v>Mai</v>
      </c>
      <c r="F37" t="s">
        <v>7</v>
      </c>
      <c r="G37" s="3">
        <v>2171.9899999999998</v>
      </c>
      <c r="H37" t="s">
        <v>10</v>
      </c>
      <c r="I37" s="3">
        <v>22828.010000000002</v>
      </c>
      <c r="J37" s="3">
        <f>BaseVendas[[#This Row],[Valor]]+BaseVendas[[#This Row],[Estimado]]</f>
        <v>25000</v>
      </c>
    </row>
    <row r="38" spans="3:10" x14ac:dyDescent="0.25">
      <c r="C38" s="1">
        <v>45797</v>
      </c>
      <c r="D38" s="4">
        <f>YEAR(BaseVendas[[#This Row],[Data]])</f>
        <v>2025</v>
      </c>
      <c r="E38" s="1" t="str">
        <f>PROPER(TEXT(BaseVendas[[#This Row],[Data]],"mmm"))</f>
        <v>Mai</v>
      </c>
      <c r="F38" t="s">
        <v>6</v>
      </c>
      <c r="G38" s="3">
        <v>8846.86</v>
      </c>
      <c r="H38" t="s">
        <v>13</v>
      </c>
      <c r="I38" s="3">
        <v>16153.14</v>
      </c>
      <c r="J38" s="3">
        <f>BaseVendas[[#This Row],[Valor]]+BaseVendas[[#This Row],[Estimado]]</f>
        <v>25000</v>
      </c>
    </row>
    <row r="39" spans="3:10" x14ac:dyDescent="0.25">
      <c r="C39" s="1">
        <v>45798</v>
      </c>
      <c r="D39" s="4">
        <f>YEAR(BaseVendas[[#This Row],[Data]])</f>
        <v>2025</v>
      </c>
      <c r="E39" s="1" t="str">
        <f>PROPER(TEXT(BaseVendas[[#This Row],[Data]],"mmm"))</f>
        <v>Mai</v>
      </c>
      <c r="F39" t="s">
        <v>5</v>
      </c>
      <c r="G39" s="3">
        <v>8386.2900000000009</v>
      </c>
      <c r="H39" t="s">
        <v>14</v>
      </c>
      <c r="I39" s="3">
        <v>16613.71</v>
      </c>
      <c r="J39" s="3">
        <f>BaseVendas[[#This Row],[Valor]]+BaseVendas[[#This Row],[Estimado]]</f>
        <v>25000</v>
      </c>
    </row>
    <row r="40" spans="3:10" x14ac:dyDescent="0.25">
      <c r="C40" s="1">
        <v>45799</v>
      </c>
      <c r="D40" s="4">
        <f>YEAR(BaseVendas[[#This Row],[Data]])</f>
        <v>2025</v>
      </c>
      <c r="E40" s="1" t="str">
        <f>PROPER(TEXT(BaseVendas[[#This Row],[Data]],"mmm"))</f>
        <v>Mai</v>
      </c>
      <c r="F40" t="s">
        <v>7</v>
      </c>
      <c r="G40" s="3">
        <v>1037.6500000000001</v>
      </c>
      <c r="H40" t="s">
        <v>13</v>
      </c>
      <c r="I40" s="3">
        <v>23962.35</v>
      </c>
      <c r="J40" s="3">
        <f>BaseVendas[[#This Row],[Valor]]+BaseVendas[[#This Row],[Estimado]]</f>
        <v>25000</v>
      </c>
    </row>
    <row r="41" spans="3:10" x14ac:dyDescent="0.25">
      <c r="C41" s="1">
        <v>45799</v>
      </c>
      <c r="D41" s="4">
        <f>YEAR(BaseVendas[[#This Row],[Data]])</f>
        <v>2025</v>
      </c>
      <c r="E41" s="1" t="str">
        <f>PROPER(TEXT(BaseVendas[[#This Row],[Data]],"mmm"))</f>
        <v>Mai</v>
      </c>
      <c r="F41" t="s">
        <v>6</v>
      </c>
      <c r="G41" s="3">
        <v>8181.61</v>
      </c>
      <c r="H41" t="s">
        <v>11</v>
      </c>
      <c r="I41" s="3">
        <v>16818.39</v>
      </c>
      <c r="J41" s="3">
        <f>BaseVendas[[#This Row],[Valor]]+BaseVendas[[#This Row],[Estimado]]</f>
        <v>25000</v>
      </c>
    </row>
    <row r="42" spans="3:10" x14ac:dyDescent="0.25">
      <c r="C42" s="1">
        <v>45799</v>
      </c>
      <c r="D42" s="4">
        <f>YEAR(BaseVendas[[#This Row],[Data]])</f>
        <v>2025</v>
      </c>
      <c r="E42" s="1" t="str">
        <f>PROPER(TEXT(BaseVendas[[#This Row],[Data]],"mmm"))</f>
        <v>Mai</v>
      </c>
      <c r="F42" t="s">
        <v>8</v>
      </c>
      <c r="G42" s="3">
        <v>8458.31</v>
      </c>
      <c r="H42" t="s">
        <v>10</v>
      </c>
      <c r="I42" s="3">
        <v>16541.689999999999</v>
      </c>
      <c r="J42" s="3">
        <f>BaseVendas[[#This Row],[Valor]]+BaseVendas[[#This Row],[Estimado]]</f>
        <v>25000</v>
      </c>
    </row>
    <row r="43" spans="3:10" x14ac:dyDescent="0.25">
      <c r="C43" s="1">
        <v>45801</v>
      </c>
      <c r="D43" s="4">
        <f>YEAR(BaseVendas[[#This Row],[Data]])</f>
        <v>2025</v>
      </c>
      <c r="E43" s="1" t="str">
        <f>PROPER(TEXT(BaseVendas[[#This Row],[Data]],"mmm"))</f>
        <v>Mai</v>
      </c>
      <c r="F43" t="s">
        <v>6</v>
      </c>
      <c r="G43" s="3">
        <v>2836</v>
      </c>
      <c r="H43" t="s">
        <v>12</v>
      </c>
      <c r="I43" s="3">
        <v>22164</v>
      </c>
      <c r="J43" s="3">
        <f>BaseVendas[[#This Row],[Valor]]+BaseVendas[[#This Row],[Estimado]]</f>
        <v>25000</v>
      </c>
    </row>
    <row r="44" spans="3:10" x14ac:dyDescent="0.25">
      <c r="C44" s="1">
        <v>45802</v>
      </c>
      <c r="D44" s="4">
        <f>YEAR(BaseVendas[[#This Row],[Data]])</f>
        <v>2025</v>
      </c>
      <c r="E44" s="1" t="str">
        <f>PROPER(TEXT(BaseVendas[[#This Row],[Data]],"mmm"))</f>
        <v>Mai</v>
      </c>
      <c r="F44" t="s">
        <v>9</v>
      </c>
      <c r="G44" s="3">
        <v>6326.97</v>
      </c>
      <c r="H44" t="s">
        <v>14</v>
      </c>
      <c r="I44" s="3">
        <v>18673.03</v>
      </c>
      <c r="J44" s="3">
        <f>BaseVendas[[#This Row],[Valor]]+BaseVendas[[#This Row],[Estimado]]</f>
        <v>25000</v>
      </c>
    </row>
    <row r="45" spans="3:10" x14ac:dyDescent="0.25">
      <c r="C45" s="1">
        <v>45803</v>
      </c>
      <c r="D45" s="4">
        <f>YEAR(BaseVendas[[#This Row],[Data]])</f>
        <v>2025</v>
      </c>
      <c r="E45" s="1" t="str">
        <f>PROPER(TEXT(BaseVendas[[#This Row],[Data]],"mmm"))</f>
        <v>Mai</v>
      </c>
      <c r="F45" t="s">
        <v>5</v>
      </c>
      <c r="G45" s="3">
        <v>8057.32</v>
      </c>
      <c r="H45" t="s">
        <v>13</v>
      </c>
      <c r="I45" s="3">
        <v>16942.68</v>
      </c>
      <c r="J45" s="3">
        <f>BaseVendas[[#This Row],[Valor]]+BaseVendas[[#This Row],[Estimado]]</f>
        <v>25000</v>
      </c>
    </row>
    <row r="46" spans="3:10" x14ac:dyDescent="0.25">
      <c r="C46" s="1">
        <v>45803</v>
      </c>
      <c r="D46" s="4">
        <f>YEAR(BaseVendas[[#This Row],[Data]])</f>
        <v>2025</v>
      </c>
      <c r="E46" s="1" t="str">
        <f>PROPER(TEXT(BaseVendas[[#This Row],[Data]],"mmm"))</f>
        <v>Mai</v>
      </c>
      <c r="F46" t="s">
        <v>6</v>
      </c>
      <c r="G46" s="3">
        <v>2745.12</v>
      </c>
      <c r="H46" t="s">
        <v>13</v>
      </c>
      <c r="I46" s="3">
        <v>22254.880000000005</v>
      </c>
      <c r="J46" s="3">
        <f>BaseVendas[[#This Row],[Valor]]+BaseVendas[[#This Row],[Estimado]]</f>
        <v>25000.000000000004</v>
      </c>
    </row>
    <row r="47" spans="3:10" x14ac:dyDescent="0.25">
      <c r="C47" s="1">
        <v>45804</v>
      </c>
      <c r="D47" s="4">
        <f>YEAR(BaseVendas[[#This Row],[Data]])</f>
        <v>2025</v>
      </c>
      <c r="E47" s="1" t="str">
        <f>PROPER(TEXT(BaseVendas[[#This Row],[Data]],"mmm"))</f>
        <v>Mai</v>
      </c>
      <c r="F47" t="s">
        <v>4</v>
      </c>
      <c r="G47" s="3">
        <v>6918.24</v>
      </c>
      <c r="H47" t="s">
        <v>10</v>
      </c>
      <c r="I47" s="3">
        <v>18081.760000000002</v>
      </c>
      <c r="J47" s="3">
        <f>BaseVendas[[#This Row],[Valor]]+BaseVendas[[#This Row],[Estimado]]</f>
        <v>25000</v>
      </c>
    </row>
    <row r="48" spans="3:10" x14ac:dyDescent="0.25">
      <c r="C48" s="1">
        <v>45804</v>
      </c>
      <c r="D48" s="4">
        <f>YEAR(BaseVendas[[#This Row],[Data]])</f>
        <v>2025</v>
      </c>
      <c r="E48" s="1" t="str">
        <f>PROPER(TEXT(BaseVendas[[#This Row],[Data]],"mmm"))</f>
        <v>Mai</v>
      </c>
      <c r="F48" t="s">
        <v>8</v>
      </c>
      <c r="G48" s="3">
        <v>9265.43</v>
      </c>
      <c r="H48" t="s">
        <v>14</v>
      </c>
      <c r="I48" s="3">
        <v>15734.57</v>
      </c>
      <c r="J48" s="3">
        <f>BaseVendas[[#This Row],[Valor]]+BaseVendas[[#This Row],[Estimado]]</f>
        <v>25000</v>
      </c>
    </row>
    <row r="49" spans="3:10" x14ac:dyDescent="0.25">
      <c r="C49" s="1">
        <v>45805</v>
      </c>
      <c r="D49" s="4">
        <f>YEAR(BaseVendas[[#This Row],[Data]])</f>
        <v>2025</v>
      </c>
      <c r="E49" s="1" t="str">
        <f>PROPER(TEXT(BaseVendas[[#This Row],[Data]],"mmm"))</f>
        <v>Mai</v>
      </c>
      <c r="F49" t="s">
        <v>8</v>
      </c>
      <c r="G49" s="3">
        <v>8689.5499999999993</v>
      </c>
      <c r="H49" t="s">
        <v>10</v>
      </c>
      <c r="I49" s="3">
        <v>16310.45</v>
      </c>
      <c r="J49" s="3">
        <f>BaseVendas[[#This Row],[Valor]]+BaseVendas[[#This Row],[Estimado]]</f>
        <v>25000</v>
      </c>
    </row>
    <row r="50" spans="3:10" x14ac:dyDescent="0.25">
      <c r="C50" s="1">
        <v>45805</v>
      </c>
      <c r="D50" s="4">
        <f>YEAR(BaseVendas[[#This Row],[Data]])</f>
        <v>2025</v>
      </c>
      <c r="E50" s="1" t="str">
        <f>PROPER(TEXT(BaseVendas[[#This Row],[Data]],"mmm"))</f>
        <v>Mai</v>
      </c>
      <c r="F50" t="s">
        <v>7</v>
      </c>
      <c r="G50" s="3">
        <v>6304.98</v>
      </c>
      <c r="H50" t="s">
        <v>12</v>
      </c>
      <c r="I50" s="3">
        <v>18695.02</v>
      </c>
      <c r="J50" s="3">
        <f>BaseVendas[[#This Row],[Valor]]+BaseVendas[[#This Row],[Estimado]]</f>
        <v>25000</v>
      </c>
    </row>
    <row r="51" spans="3:10" x14ac:dyDescent="0.25">
      <c r="C51" s="1">
        <v>45807</v>
      </c>
      <c r="D51" s="4">
        <f>YEAR(BaseVendas[[#This Row],[Data]])</f>
        <v>2025</v>
      </c>
      <c r="E51" s="1" t="str">
        <f>PROPER(TEXT(BaseVendas[[#This Row],[Data]],"mmm"))</f>
        <v>Mai</v>
      </c>
      <c r="F51" t="s">
        <v>4</v>
      </c>
      <c r="G51" s="3">
        <v>1184.25</v>
      </c>
      <c r="H51" t="s">
        <v>10</v>
      </c>
      <c r="I51" s="3">
        <v>23815.75</v>
      </c>
      <c r="J51" s="3">
        <f>BaseVendas[[#This Row],[Valor]]+BaseVendas[[#This Row],[Estimado]]</f>
        <v>25000</v>
      </c>
    </row>
    <row r="52" spans="3:10" x14ac:dyDescent="0.25">
      <c r="C52" s="1">
        <v>45807</v>
      </c>
      <c r="D52" s="4">
        <f>YEAR(BaseVendas[[#This Row],[Data]])</f>
        <v>2025</v>
      </c>
      <c r="E52" s="1" t="str">
        <f>PROPER(TEXT(BaseVendas[[#This Row],[Data]],"mmm"))</f>
        <v>Mai</v>
      </c>
      <c r="F52" t="s">
        <v>9</v>
      </c>
      <c r="G52" s="3">
        <v>3830.25</v>
      </c>
      <c r="H52" t="s">
        <v>14</v>
      </c>
      <c r="I52" s="3">
        <v>21169.75</v>
      </c>
      <c r="J52" s="3">
        <f>BaseVendas[[#This Row],[Valor]]+BaseVendas[[#This Row],[Estimado]]</f>
        <v>25000</v>
      </c>
    </row>
    <row r="53" spans="3:10" x14ac:dyDescent="0.25">
      <c r="C53" s="1">
        <v>45807</v>
      </c>
      <c r="D53" s="4">
        <f>YEAR(BaseVendas[[#This Row],[Data]])</f>
        <v>2025</v>
      </c>
      <c r="E53" s="1" t="str">
        <f>PROPER(TEXT(BaseVendas[[#This Row],[Data]],"mmm"))</f>
        <v>Mai</v>
      </c>
      <c r="F53" t="s">
        <v>4</v>
      </c>
      <c r="G53" s="3">
        <v>4400.9799999999996</v>
      </c>
      <c r="H53" t="s">
        <v>14</v>
      </c>
      <c r="I53" s="3">
        <v>20599.02</v>
      </c>
      <c r="J53" s="3">
        <f>BaseVendas[[#This Row],[Valor]]+BaseVendas[[#This Row],[Estimado]]</f>
        <v>25000</v>
      </c>
    </row>
    <row r="54" spans="3:10" x14ac:dyDescent="0.25">
      <c r="C54" s="1">
        <v>45808</v>
      </c>
      <c r="D54" s="4">
        <f>YEAR(BaseVendas[[#This Row],[Data]])</f>
        <v>2025</v>
      </c>
      <c r="E54" s="1" t="str">
        <f>PROPER(TEXT(BaseVendas[[#This Row],[Data]],"mmm"))</f>
        <v>Mai</v>
      </c>
      <c r="F54" t="s">
        <v>7</v>
      </c>
      <c r="G54" s="3">
        <v>7799.43</v>
      </c>
      <c r="H54" t="s">
        <v>11</v>
      </c>
      <c r="I54" s="3">
        <v>17200.57</v>
      </c>
      <c r="J54" s="3">
        <f>BaseVendas[[#This Row],[Valor]]+BaseVendas[[#This Row],[Estimado]]</f>
        <v>25000</v>
      </c>
    </row>
    <row r="55" spans="3:10" x14ac:dyDescent="0.25">
      <c r="C55" s="1">
        <v>45809</v>
      </c>
      <c r="D55" s="4">
        <f>YEAR(BaseVendas[[#This Row],[Data]])</f>
        <v>2025</v>
      </c>
      <c r="E55" s="1" t="str">
        <f>PROPER(TEXT(BaseVendas[[#This Row],[Data]],"mmm"))</f>
        <v>Jun</v>
      </c>
      <c r="F55" t="s">
        <v>5</v>
      </c>
      <c r="G55" s="3">
        <v>7900.65</v>
      </c>
      <c r="H55" t="s">
        <v>11</v>
      </c>
      <c r="I55" s="3">
        <v>17099.350000000002</v>
      </c>
      <c r="J55" s="3">
        <f>BaseVendas[[#This Row],[Valor]]+BaseVendas[[#This Row],[Estimado]]</f>
        <v>25000</v>
      </c>
    </row>
    <row r="56" spans="3:10" x14ac:dyDescent="0.25">
      <c r="C56" s="1">
        <v>45809</v>
      </c>
      <c r="D56" s="4">
        <f>YEAR(BaseVendas[[#This Row],[Data]])</f>
        <v>2025</v>
      </c>
      <c r="E56" s="1" t="str">
        <f>PROPER(TEXT(BaseVendas[[#This Row],[Data]],"mmm"))</f>
        <v>Jun</v>
      </c>
      <c r="F56" t="s">
        <v>9</v>
      </c>
      <c r="G56" s="3">
        <v>4918.28</v>
      </c>
      <c r="H56" t="s">
        <v>13</v>
      </c>
      <c r="I56" s="3">
        <v>20081.72</v>
      </c>
      <c r="J56" s="3">
        <f>BaseVendas[[#This Row],[Valor]]+BaseVendas[[#This Row],[Estimado]]</f>
        <v>25000</v>
      </c>
    </row>
    <row r="57" spans="3:10" x14ac:dyDescent="0.25">
      <c r="C57" s="1">
        <v>45809</v>
      </c>
      <c r="D57" s="4">
        <f>YEAR(BaseVendas[[#This Row],[Data]])</f>
        <v>2025</v>
      </c>
      <c r="E57" s="1" t="str">
        <f>PROPER(TEXT(BaseVendas[[#This Row],[Data]],"mmm"))</f>
        <v>Jun</v>
      </c>
      <c r="F57" t="s">
        <v>4</v>
      </c>
      <c r="G57" s="3">
        <v>8085.65</v>
      </c>
      <c r="H57" t="s">
        <v>12</v>
      </c>
      <c r="I57" s="3">
        <v>16914.350000000002</v>
      </c>
      <c r="J57" s="3">
        <f>BaseVendas[[#This Row],[Valor]]+BaseVendas[[#This Row],[Estimado]]</f>
        <v>25000</v>
      </c>
    </row>
    <row r="58" spans="3:10" x14ac:dyDescent="0.25">
      <c r="C58" s="1">
        <v>45809</v>
      </c>
      <c r="D58" s="4">
        <f>YEAR(BaseVendas[[#This Row],[Data]])</f>
        <v>2025</v>
      </c>
      <c r="E58" s="1" t="str">
        <f>PROPER(TEXT(BaseVendas[[#This Row],[Data]],"mmm"))</f>
        <v>Jun</v>
      </c>
      <c r="F58" t="s">
        <v>4</v>
      </c>
      <c r="G58" s="3">
        <v>5749.37</v>
      </c>
      <c r="H58" t="s">
        <v>14</v>
      </c>
      <c r="I58" s="3">
        <v>19250.630000000005</v>
      </c>
      <c r="J58" s="3">
        <f>BaseVendas[[#This Row],[Valor]]+BaseVendas[[#This Row],[Estimado]]</f>
        <v>25000.000000000004</v>
      </c>
    </row>
    <row r="59" spans="3:10" x14ac:dyDescent="0.25">
      <c r="C59" s="1">
        <v>45812</v>
      </c>
      <c r="D59" s="4">
        <f>YEAR(BaseVendas[[#This Row],[Data]])</f>
        <v>2025</v>
      </c>
      <c r="E59" s="1" t="str">
        <f>PROPER(TEXT(BaseVendas[[#This Row],[Data]],"mmm"))</f>
        <v>Jun</v>
      </c>
      <c r="F59" t="s">
        <v>4</v>
      </c>
      <c r="G59" s="3">
        <v>1034.03</v>
      </c>
      <c r="H59" t="s">
        <v>12</v>
      </c>
      <c r="I59" s="3">
        <v>23965.969999999998</v>
      </c>
      <c r="J59" s="3">
        <f>BaseVendas[[#This Row],[Valor]]+BaseVendas[[#This Row],[Estimado]]</f>
        <v>24999.999999999996</v>
      </c>
    </row>
    <row r="60" spans="3:10" x14ac:dyDescent="0.25">
      <c r="C60" s="1">
        <v>45813</v>
      </c>
      <c r="D60" s="4">
        <f>YEAR(BaseVendas[[#This Row],[Data]])</f>
        <v>2025</v>
      </c>
      <c r="E60" s="1" t="str">
        <f>PROPER(TEXT(BaseVendas[[#This Row],[Data]],"mmm"))</f>
        <v>Jun</v>
      </c>
      <c r="F60" t="s">
        <v>5</v>
      </c>
      <c r="G60" s="3">
        <v>5392.8</v>
      </c>
      <c r="H60" t="s">
        <v>13</v>
      </c>
      <c r="I60" s="3">
        <v>19607.200000000004</v>
      </c>
      <c r="J60" s="3">
        <f>BaseVendas[[#This Row],[Valor]]+BaseVendas[[#This Row],[Estimado]]</f>
        <v>25000.000000000004</v>
      </c>
    </row>
    <row r="61" spans="3:10" x14ac:dyDescent="0.25">
      <c r="C61" s="1">
        <v>45813</v>
      </c>
      <c r="D61" s="4">
        <f>YEAR(BaseVendas[[#This Row],[Data]])</f>
        <v>2025</v>
      </c>
      <c r="E61" s="1" t="str">
        <f>PROPER(TEXT(BaseVendas[[#This Row],[Data]],"mmm"))</f>
        <v>Jun</v>
      </c>
      <c r="F61" t="s">
        <v>8</v>
      </c>
      <c r="G61" s="3">
        <v>110.54</v>
      </c>
      <c r="H61" t="s">
        <v>14</v>
      </c>
      <c r="I61" s="3">
        <v>24889.46</v>
      </c>
      <c r="J61" s="3">
        <f>BaseVendas[[#This Row],[Valor]]+BaseVendas[[#This Row],[Estimado]]</f>
        <v>25000</v>
      </c>
    </row>
    <row r="62" spans="3:10" x14ac:dyDescent="0.25">
      <c r="C62" s="1">
        <v>45813</v>
      </c>
      <c r="D62" s="4">
        <f>YEAR(BaseVendas[[#This Row],[Data]])</f>
        <v>2025</v>
      </c>
      <c r="E62" s="1" t="str">
        <f>PROPER(TEXT(BaseVendas[[#This Row],[Data]],"mmm"))</f>
        <v>Jun</v>
      </c>
      <c r="F62" t="s">
        <v>7</v>
      </c>
      <c r="G62" s="3">
        <v>6020.63</v>
      </c>
      <c r="H62" t="s">
        <v>14</v>
      </c>
      <c r="I62" s="3">
        <v>18979.37</v>
      </c>
      <c r="J62" s="3">
        <f>BaseVendas[[#This Row],[Valor]]+BaseVendas[[#This Row],[Estimado]]</f>
        <v>25000</v>
      </c>
    </row>
    <row r="63" spans="3:10" x14ac:dyDescent="0.25">
      <c r="C63" s="1">
        <v>45814</v>
      </c>
      <c r="D63" s="4">
        <f>YEAR(BaseVendas[[#This Row],[Data]])</f>
        <v>2025</v>
      </c>
      <c r="E63" s="1" t="str">
        <f>PROPER(TEXT(BaseVendas[[#This Row],[Data]],"mmm"))</f>
        <v>Jun</v>
      </c>
      <c r="F63" t="s">
        <v>5</v>
      </c>
      <c r="G63" s="3">
        <v>7445.41</v>
      </c>
      <c r="H63" t="s">
        <v>11</v>
      </c>
      <c r="I63" s="3">
        <v>17554.59</v>
      </c>
      <c r="J63" s="3">
        <f>BaseVendas[[#This Row],[Valor]]+BaseVendas[[#This Row],[Estimado]]</f>
        <v>25000</v>
      </c>
    </row>
    <row r="64" spans="3:10" x14ac:dyDescent="0.25">
      <c r="C64" s="1">
        <v>45814</v>
      </c>
      <c r="D64" s="4">
        <f>YEAR(BaseVendas[[#This Row],[Data]])</f>
        <v>2025</v>
      </c>
      <c r="E64" s="1" t="str">
        <f>PROPER(TEXT(BaseVendas[[#This Row],[Data]],"mmm"))</f>
        <v>Jun</v>
      </c>
      <c r="F64" t="s">
        <v>5</v>
      </c>
      <c r="G64" s="3">
        <v>2387.92</v>
      </c>
      <c r="H64" t="s">
        <v>10</v>
      </c>
      <c r="I64" s="3">
        <v>22612.080000000002</v>
      </c>
      <c r="J64" s="3">
        <f>BaseVendas[[#This Row],[Valor]]+BaseVendas[[#This Row],[Estimado]]</f>
        <v>25000</v>
      </c>
    </row>
    <row r="65" spans="3:10" x14ac:dyDescent="0.25">
      <c r="C65" s="1">
        <v>45814</v>
      </c>
      <c r="D65" s="4">
        <f>YEAR(BaseVendas[[#This Row],[Data]])</f>
        <v>2025</v>
      </c>
      <c r="E65" s="1" t="str">
        <f>PROPER(TEXT(BaseVendas[[#This Row],[Data]],"mmm"))</f>
        <v>Jun</v>
      </c>
      <c r="F65" t="s">
        <v>8</v>
      </c>
      <c r="G65" s="3">
        <v>9029.49</v>
      </c>
      <c r="H65" t="s">
        <v>12</v>
      </c>
      <c r="I65" s="3">
        <v>15970.510000000002</v>
      </c>
      <c r="J65" s="3">
        <f>BaseVendas[[#This Row],[Valor]]+BaseVendas[[#This Row],[Estimado]]</f>
        <v>25000</v>
      </c>
    </row>
    <row r="66" spans="3:10" x14ac:dyDescent="0.25">
      <c r="C66" s="1">
        <v>45815</v>
      </c>
      <c r="D66" s="4">
        <f>YEAR(BaseVendas[[#This Row],[Data]])</f>
        <v>2025</v>
      </c>
      <c r="E66" s="1" t="str">
        <f>PROPER(TEXT(BaseVendas[[#This Row],[Data]],"mmm"))</f>
        <v>Jun</v>
      </c>
      <c r="F66" t="s">
        <v>6</v>
      </c>
      <c r="G66" s="3">
        <v>5125.4399999999996</v>
      </c>
      <c r="H66" t="s">
        <v>12</v>
      </c>
      <c r="I66" s="3">
        <v>19874.560000000005</v>
      </c>
      <c r="J66" s="3">
        <f>BaseVendas[[#This Row],[Valor]]+BaseVendas[[#This Row],[Estimado]]</f>
        <v>25000.000000000004</v>
      </c>
    </row>
    <row r="67" spans="3:10" x14ac:dyDescent="0.25">
      <c r="C67" s="1">
        <v>45815</v>
      </c>
      <c r="D67" s="4">
        <f>YEAR(BaseVendas[[#This Row],[Data]])</f>
        <v>2025</v>
      </c>
      <c r="E67" s="1" t="str">
        <f>PROPER(TEXT(BaseVendas[[#This Row],[Data]],"mmm"))</f>
        <v>Jun</v>
      </c>
      <c r="F67" t="s">
        <v>6</v>
      </c>
      <c r="G67" s="3">
        <v>4744.1000000000004</v>
      </c>
      <c r="H67" t="s">
        <v>12</v>
      </c>
      <c r="I67" s="3">
        <v>20255.900000000001</v>
      </c>
      <c r="J67" s="3">
        <f>BaseVendas[[#This Row],[Valor]]+BaseVendas[[#This Row],[Estimado]]</f>
        <v>25000</v>
      </c>
    </row>
    <row r="68" spans="3:10" x14ac:dyDescent="0.25">
      <c r="C68" s="1">
        <v>45815</v>
      </c>
      <c r="D68" s="4">
        <f>YEAR(BaseVendas[[#This Row],[Data]])</f>
        <v>2025</v>
      </c>
      <c r="E68" s="1" t="str">
        <f>PROPER(TEXT(BaseVendas[[#This Row],[Data]],"mmm"))</f>
        <v>Jun</v>
      </c>
      <c r="F68" t="s">
        <v>5</v>
      </c>
      <c r="G68" s="3">
        <v>6153.57</v>
      </c>
      <c r="H68" t="s">
        <v>12</v>
      </c>
      <c r="I68" s="3">
        <v>18846.43</v>
      </c>
      <c r="J68" s="3">
        <f>BaseVendas[[#This Row],[Valor]]+BaseVendas[[#This Row],[Estimado]]</f>
        <v>25000</v>
      </c>
    </row>
    <row r="69" spans="3:10" x14ac:dyDescent="0.25">
      <c r="C69" s="1">
        <v>45818</v>
      </c>
      <c r="D69" s="4">
        <f>YEAR(BaseVendas[[#This Row],[Data]])</f>
        <v>2025</v>
      </c>
      <c r="E69" s="1" t="str">
        <f>PROPER(TEXT(BaseVendas[[#This Row],[Data]],"mmm"))</f>
        <v>Jun</v>
      </c>
      <c r="F69" t="s">
        <v>9</v>
      </c>
      <c r="G69" s="3">
        <v>1476.01</v>
      </c>
      <c r="H69" t="s">
        <v>14</v>
      </c>
      <c r="I69" s="3">
        <v>23523.989999999998</v>
      </c>
      <c r="J69" s="3">
        <f>BaseVendas[[#This Row],[Valor]]+BaseVendas[[#This Row],[Estimado]]</f>
        <v>24999.999999999996</v>
      </c>
    </row>
    <row r="70" spans="3:10" x14ac:dyDescent="0.25">
      <c r="C70" s="1">
        <v>45818</v>
      </c>
      <c r="D70" s="4">
        <f>YEAR(BaseVendas[[#This Row],[Data]])</f>
        <v>2025</v>
      </c>
      <c r="E70" s="1" t="str">
        <f>PROPER(TEXT(BaseVendas[[#This Row],[Data]],"mmm"))</f>
        <v>Jun</v>
      </c>
      <c r="F70" t="s">
        <v>7</v>
      </c>
      <c r="G70" s="3">
        <v>6351.77</v>
      </c>
      <c r="H70" t="s">
        <v>12</v>
      </c>
      <c r="I70" s="3">
        <v>18648.23</v>
      </c>
      <c r="J70" s="3">
        <f>BaseVendas[[#This Row],[Valor]]+BaseVendas[[#This Row],[Estimado]]</f>
        <v>25000</v>
      </c>
    </row>
    <row r="71" spans="3:10" x14ac:dyDescent="0.25">
      <c r="C71" s="1">
        <v>45819</v>
      </c>
      <c r="D71" s="4">
        <f>YEAR(BaseVendas[[#This Row],[Data]])</f>
        <v>2025</v>
      </c>
      <c r="E71" s="1" t="str">
        <f>PROPER(TEXT(BaseVendas[[#This Row],[Data]],"mmm"))</f>
        <v>Jun</v>
      </c>
      <c r="F71" t="s">
        <v>9</v>
      </c>
      <c r="G71" s="3">
        <v>9397.25</v>
      </c>
      <c r="H71" t="s">
        <v>10</v>
      </c>
      <c r="I71" s="3">
        <v>15602.75</v>
      </c>
      <c r="J71" s="3">
        <f>BaseVendas[[#This Row],[Valor]]+BaseVendas[[#This Row],[Estimado]]</f>
        <v>25000</v>
      </c>
    </row>
    <row r="72" spans="3:10" x14ac:dyDescent="0.25">
      <c r="C72" s="1">
        <v>45820</v>
      </c>
      <c r="D72" s="4">
        <f>YEAR(BaseVendas[[#This Row],[Data]])</f>
        <v>2025</v>
      </c>
      <c r="E72" s="1" t="str">
        <f>PROPER(TEXT(BaseVendas[[#This Row],[Data]],"mmm"))</f>
        <v>Jun</v>
      </c>
      <c r="F72" t="s">
        <v>8</v>
      </c>
      <c r="G72" s="3">
        <v>9164.0400000000009</v>
      </c>
      <c r="H72" t="s">
        <v>10</v>
      </c>
      <c r="I72" s="3">
        <v>15835.96</v>
      </c>
      <c r="J72" s="3">
        <f>BaseVendas[[#This Row],[Valor]]+BaseVendas[[#This Row],[Estimado]]</f>
        <v>25000</v>
      </c>
    </row>
    <row r="73" spans="3:10" x14ac:dyDescent="0.25">
      <c r="C73" s="1">
        <v>45820</v>
      </c>
      <c r="D73" s="4">
        <f>YEAR(BaseVendas[[#This Row],[Data]])</f>
        <v>2025</v>
      </c>
      <c r="E73" s="1" t="str">
        <f>PROPER(TEXT(BaseVendas[[#This Row],[Data]],"mmm"))</f>
        <v>Jun</v>
      </c>
      <c r="F73" t="s">
        <v>7</v>
      </c>
      <c r="G73" s="3">
        <v>3260.19</v>
      </c>
      <c r="H73" t="s">
        <v>14</v>
      </c>
      <c r="I73" s="3">
        <v>21739.809999999998</v>
      </c>
      <c r="J73" s="3">
        <f>BaseVendas[[#This Row],[Valor]]+BaseVendas[[#This Row],[Estimado]]</f>
        <v>24999.999999999996</v>
      </c>
    </row>
    <row r="74" spans="3:10" x14ac:dyDescent="0.25">
      <c r="C74" s="1">
        <v>45820</v>
      </c>
      <c r="D74" s="4">
        <f>YEAR(BaseVendas[[#This Row],[Data]])</f>
        <v>2025</v>
      </c>
      <c r="E74" s="1" t="str">
        <f>PROPER(TEXT(BaseVendas[[#This Row],[Data]],"mmm"))</f>
        <v>Jun</v>
      </c>
      <c r="F74" t="s">
        <v>5</v>
      </c>
      <c r="G74" s="3">
        <v>9917.16</v>
      </c>
      <c r="H74" t="s">
        <v>14</v>
      </c>
      <c r="I74" s="3">
        <v>15082.84</v>
      </c>
      <c r="J74" s="3">
        <f>BaseVendas[[#This Row],[Valor]]+BaseVendas[[#This Row],[Estimado]]</f>
        <v>25000</v>
      </c>
    </row>
    <row r="75" spans="3:10" x14ac:dyDescent="0.25">
      <c r="C75" s="1">
        <v>45820</v>
      </c>
      <c r="D75" s="4">
        <f>YEAR(BaseVendas[[#This Row],[Data]])</f>
        <v>2025</v>
      </c>
      <c r="E75" s="1" t="str">
        <f>PROPER(TEXT(BaseVendas[[#This Row],[Data]],"mmm"))</f>
        <v>Jun</v>
      </c>
      <c r="F75" t="s">
        <v>5</v>
      </c>
      <c r="G75" s="3">
        <v>2971.48</v>
      </c>
      <c r="H75" t="s">
        <v>12</v>
      </c>
      <c r="I75" s="3">
        <v>22028.52</v>
      </c>
      <c r="J75" s="3">
        <f>BaseVendas[[#This Row],[Valor]]+BaseVendas[[#This Row],[Estimado]]</f>
        <v>25000</v>
      </c>
    </row>
    <row r="76" spans="3:10" x14ac:dyDescent="0.25">
      <c r="C76" s="1">
        <v>45820</v>
      </c>
      <c r="D76" s="4">
        <f>YEAR(BaseVendas[[#This Row],[Data]])</f>
        <v>2025</v>
      </c>
      <c r="E76" s="1" t="str">
        <f>PROPER(TEXT(BaseVendas[[#This Row],[Data]],"mmm"))</f>
        <v>Jun</v>
      </c>
      <c r="F76" t="s">
        <v>7</v>
      </c>
      <c r="G76" s="3">
        <v>5437.18</v>
      </c>
      <c r="H76" t="s">
        <v>10</v>
      </c>
      <c r="I76" s="3">
        <v>19562.82</v>
      </c>
      <c r="J76" s="3">
        <f>BaseVendas[[#This Row],[Valor]]+BaseVendas[[#This Row],[Estimado]]</f>
        <v>25000</v>
      </c>
    </row>
    <row r="77" spans="3:10" x14ac:dyDescent="0.25">
      <c r="C77" s="1">
        <v>45822</v>
      </c>
      <c r="D77" s="4">
        <f>YEAR(BaseVendas[[#This Row],[Data]])</f>
        <v>2025</v>
      </c>
      <c r="E77" s="1" t="str">
        <f>PROPER(TEXT(BaseVendas[[#This Row],[Data]],"mmm"))</f>
        <v>Jun</v>
      </c>
      <c r="F77" t="s">
        <v>5</v>
      </c>
      <c r="G77" s="3">
        <v>5314.25</v>
      </c>
      <c r="H77" t="s">
        <v>10</v>
      </c>
      <c r="I77" s="3">
        <v>19685.75</v>
      </c>
      <c r="J77" s="3">
        <f>BaseVendas[[#This Row],[Valor]]+BaseVendas[[#This Row],[Estimado]]</f>
        <v>25000</v>
      </c>
    </row>
    <row r="78" spans="3:10" x14ac:dyDescent="0.25">
      <c r="C78" s="1">
        <v>45822</v>
      </c>
      <c r="D78" s="4">
        <f>YEAR(BaseVendas[[#This Row],[Data]])</f>
        <v>2025</v>
      </c>
      <c r="E78" s="1" t="str">
        <f>PROPER(TEXT(BaseVendas[[#This Row],[Data]],"mmm"))</f>
        <v>Jun</v>
      </c>
      <c r="F78" t="s">
        <v>7</v>
      </c>
      <c r="G78" s="3">
        <v>1493.01</v>
      </c>
      <c r="H78" t="s">
        <v>14</v>
      </c>
      <c r="I78" s="3">
        <v>23506.989999999998</v>
      </c>
      <c r="J78" s="3">
        <f>BaseVendas[[#This Row],[Valor]]+BaseVendas[[#This Row],[Estimado]]</f>
        <v>24999.999999999996</v>
      </c>
    </row>
    <row r="79" spans="3:10" x14ac:dyDescent="0.25">
      <c r="C79" s="1">
        <v>45822</v>
      </c>
      <c r="D79" s="4">
        <f>YEAR(BaseVendas[[#This Row],[Data]])</f>
        <v>2025</v>
      </c>
      <c r="E79" s="1" t="str">
        <f>PROPER(TEXT(BaseVendas[[#This Row],[Data]],"mmm"))</f>
        <v>Jun</v>
      </c>
      <c r="F79" t="s">
        <v>6</v>
      </c>
      <c r="G79" s="3">
        <v>931.47</v>
      </c>
      <c r="H79" t="s">
        <v>14</v>
      </c>
      <c r="I79" s="3">
        <v>24068.530000000002</v>
      </c>
      <c r="J79" s="3">
        <f>BaseVendas[[#This Row],[Valor]]+BaseVendas[[#This Row],[Estimado]]</f>
        <v>25000.000000000004</v>
      </c>
    </row>
    <row r="80" spans="3:10" x14ac:dyDescent="0.25">
      <c r="C80" s="1">
        <v>45824</v>
      </c>
      <c r="D80" s="4">
        <f>YEAR(BaseVendas[[#This Row],[Data]])</f>
        <v>2025</v>
      </c>
      <c r="E80" s="1" t="str">
        <f>PROPER(TEXT(BaseVendas[[#This Row],[Data]],"mmm"))</f>
        <v>Jun</v>
      </c>
      <c r="F80" t="s">
        <v>7</v>
      </c>
      <c r="G80" s="3">
        <v>6622.01</v>
      </c>
      <c r="H80" t="s">
        <v>11</v>
      </c>
      <c r="I80" s="3">
        <v>18377.989999999998</v>
      </c>
      <c r="J80" s="3">
        <f>BaseVendas[[#This Row],[Valor]]+BaseVendas[[#This Row],[Estimado]]</f>
        <v>25000</v>
      </c>
    </row>
    <row r="81" spans="3:10" x14ac:dyDescent="0.25">
      <c r="C81" s="1">
        <v>45825</v>
      </c>
      <c r="D81" s="4">
        <f>YEAR(BaseVendas[[#This Row],[Data]])</f>
        <v>2025</v>
      </c>
      <c r="E81" s="1" t="str">
        <f>PROPER(TEXT(BaseVendas[[#This Row],[Data]],"mmm"))</f>
        <v>Jun</v>
      </c>
      <c r="F81" t="s">
        <v>6</v>
      </c>
      <c r="G81" s="3">
        <v>8812.1</v>
      </c>
      <c r="H81" t="s">
        <v>11</v>
      </c>
      <c r="I81" s="3">
        <v>16187.899999999998</v>
      </c>
      <c r="J81" s="3">
        <f>BaseVendas[[#This Row],[Valor]]+BaseVendas[[#This Row],[Estimado]]</f>
        <v>25000</v>
      </c>
    </row>
    <row r="82" spans="3:10" x14ac:dyDescent="0.25">
      <c r="C82" s="1">
        <v>45825</v>
      </c>
      <c r="D82" s="4">
        <f>YEAR(BaseVendas[[#This Row],[Data]])</f>
        <v>2025</v>
      </c>
      <c r="E82" s="1" t="str">
        <f>PROPER(TEXT(BaseVendas[[#This Row],[Data]],"mmm"))</f>
        <v>Jun</v>
      </c>
      <c r="F82" t="s">
        <v>7</v>
      </c>
      <c r="G82" s="3">
        <v>8721.56</v>
      </c>
      <c r="H82" t="s">
        <v>13</v>
      </c>
      <c r="I82" s="3">
        <v>16278.439999999999</v>
      </c>
      <c r="J82" s="3">
        <f>BaseVendas[[#This Row],[Valor]]+BaseVendas[[#This Row],[Estimado]]</f>
        <v>25000</v>
      </c>
    </row>
    <row r="83" spans="3:10" x14ac:dyDescent="0.25">
      <c r="C83" s="1">
        <v>45825</v>
      </c>
      <c r="D83" s="4">
        <f>YEAR(BaseVendas[[#This Row],[Data]])</f>
        <v>2025</v>
      </c>
      <c r="E83" s="1" t="str">
        <f>PROPER(TEXT(BaseVendas[[#This Row],[Data]],"mmm"))</f>
        <v>Jun</v>
      </c>
      <c r="F83" t="s">
        <v>6</v>
      </c>
      <c r="G83" s="3">
        <v>4311.66</v>
      </c>
      <c r="H83" t="s">
        <v>12</v>
      </c>
      <c r="I83" s="3">
        <v>20688.34</v>
      </c>
      <c r="J83" s="3">
        <f>BaseVendas[[#This Row],[Valor]]+BaseVendas[[#This Row],[Estimado]]</f>
        <v>25000</v>
      </c>
    </row>
    <row r="84" spans="3:10" x14ac:dyDescent="0.25">
      <c r="C84" s="1">
        <v>45825</v>
      </c>
      <c r="D84" s="4">
        <f>YEAR(BaseVendas[[#This Row],[Data]])</f>
        <v>2025</v>
      </c>
      <c r="E84" s="1" t="str">
        <f>PROPER(TEXT(BaseVendas[[#This Row],[Data]],"mmm"))</f>
        <v>Jun</v>
      </c>
      <c r="F84" t="s">
        <v>9</v>
      </c>
      <c r="G84" s="3">
        <v>2710.32</v>
      </c>
      <c r="H84" t="s">
        <v>12</v>
      </c>
      <c r="I84" s="3">
        <v>22289.68</v>
      </c>
      <c r="J84" s="3">
        <f>BaseVendas[[#This Row],[Valor]]+BaseVendas[[#This Row],[Estimado]]</f>
        <v>25000</v>
      </c>
    </row>
    <row r="85" spans="3:10" x14ac:dyDescent="0.25">
      <c r="C85" s="1">
        <v>45826</v>
      </c>
      <c r="D85" s="4">
        <f>YEAR(BaseVendas[[#This Row],[Data]])</f>
        <v>2025</v>
      </c>
      <c r="E85" s="1" t="str">
        <f>PROPER(TEXT(BaseVendas[[#This Row],[Data]],"mmm"))</f>
        <v>Jun</v>
      </c>
      <c r="F85" t="s">
        <v>9</v>
      </c>
      <c r="G85" s="3">
        <v>4519.8999999999996</v>
      </c>
      <c r="H85" t="s">
        <v>13</v>
      </c>
      <c r="I85" s="3">
        <v>20480.099999999999</v>
      </c>
      <c r="J85" s="3">
        <f>BaseVendas[[#This Row],[Valor]]+BaseVendas[[#This Row],[Estimado]]</f>
        <v>25000</v>
      </c>
    </row>
    <row r="86" spans="3:10" x14ac:dyDescent="0.25">
      <c r="C86" s="1">
        <v>45827</v>
      </c>
      <c r="D86" s="4">
        <f>YEAR(BaseVendas[[#This Row],[Data]])</f>
        <v>2025</v>
      </c>
      <c r="E86" s="1" t="str">
        <f>PROPER(TEXT(BaseVendas[[#This Row],[Data]],"mmm"))</f>
        <v>Jun</v>
      </c>
      <c r="F86" t="s">
        <v>4</v>
      </c>
      <c r="G86" s="3">
        <v>3398.28</v>
      </c>
      <c r="H86" t="s">
        <v>13</v>
      </c>
      <c r="I86" s="3">
        <v>21601.72</v>
      </c>
      <c r="J86" s="3">
        <f>BaseVendas[[#This Row],[Valor]]+BaseVendas[[#This Row],[Estimado]]</f>
        <v>25000</v>
      </c>
    </row>
    <row r="87" spans="3:10" x14ac:dyDescent="0.25">
      <c r="C87" s="1">
        <v>45828</v>
      </c>
      <c r="D87" s="4">
        <f>YEAR(BaseVendas[[#This Row],[Data]])</f>
        <v>2025</v>
      </c>
      <c r="E87" s="1" t="str">
        <f>PROPER(TEXT(BaseVendas[[#This Row],[Data]],"mmm"))</f>
        <v>Jun</v>
      </c>
      <c r="F87" t="s">
        <v>6</v>
      </c>
      <c r="G87" s="3">
        <v>1779.55</v>
      </c>
      <c r="H87" t="s">
        <v>11</v>
      </c>
      <c r="I87" s="3">
        <v>23220.45</v>
      </c>
      <c r="J87" s="3">
        <f>BaseVendas[[#This Row],[Valor]]+BaseVendas[[#This Row],[Estimado]]</f>
        <v>25000</v>
      </c>
    </row>
    <row r="88" spans="3:10" x14ac:dyDescent="0.25">
      <c r="C88" s="1">
        <v>45828</v>
      </c>
      <c r="D88" s="4">
        <f>YEAR(BaseVendas[[#This Row],[Data]])</f>
        <v>2025</v>
      </c>
      <c r="E88" s="1" t="str">
        <f>PROPER(TEXT(BaseVendas[[#This Row],[Data]],"mmm"))</f>
        <v>Jun</v>
      </c>
      <c r="F88" t="s">
        <v>7</v>
      </c>
      <c r="G88" s="3">
        <v>3563.46</v>
      </c>
      <c r="H88" t="s">
        <v>13</v>
      </c>
      <c r="I88" s="3">
        <v>21436.54</v>
      </c>
      <c r="J88" s="3">
        <f>BaseVendas[[#This Row],[Valor]]+BaseVendas[[#This Row],[Estimado]]</f>
        <v>25000</v>
      </c>
    </row>
    <row r="89" spans="3:10" x14ac:dyDescent="0.25">
      <c r="C89" s="1">
        <v>45828</v>
      </c>
      <c r="D89" s="4">
        <f>YEAR(BaseVendas[[#This Row],[Data]])</f>
        <v>2025</v>
      </c>
      <c r="E89" s="1" t="str">
        <f>PROPER(TEXT(BaseVendas[[#This Row],[Data]],"mmm"))</f>
        <v>Jun</v>
      </c>
      <c r="F89" t="s">
        <v>8</v>
      </c>
      <c r="G89" s="3">
        <v>2057.6</v>
      </c>
      <c r="H89" t="s">
        <v>10</v>
      </c>
      <c r="I89" s="3">
        <v>22942.400000000001</v>
      </c>
      <c r="J89" s="3">
        <f>BaseVendas[[#This Row],[Valor]]+BaseVendas[[#This Row],[Estimado]]</f>
        <v>25000</v>
      </c>
    </row>
    <row r="90" spans="3:10" x14ac:dyDescent="0.25">
      <c r="C90" s="1">
        <v>45828</v>
      </c>
      <c r="D90" s="4">
        <f>YEAR(BaseVendas[[#This Row],[Data]])</f>
        <v>2025</v>
      </c>
      <c r="E90" s="1" t="str">
        <f>PROPER(TEXT(BaseVendas[[#This Row],[Data]],"mmm"))</f>
        <v>Jun</v>
      </c>
      <c r="F90" t="s">
        <v>6</v>
      </c>
      <c r="G90" s="3">
        <v>7001.78</v>
      </c>
      <c r="H90" t="s">
        <v>13</v>
      </c>
      <c r="I90" s="3">
        <v>17998.22</v>
      </c>
      <c r="J90" s="3">
        <f>BaseVendas[[#This Row],[Valor]]+BaseVendas[[#This Row],[Estimado]]</f>
        <v>25000</v>
      </c>
    </row>
    <row r="91" spans="3:10" x14ac:dyDescent="0.25">
      <c r="C91" s="1">
        <v>45830</v>
      </c>
      <c r="D91" s="4">
        <f>YEAR(BaseVendas[[#This Row],[Data]])</f>
        <v>2025</v>
      </c>
      <c r="E91" s="1" t="str">
        <f>PROPER(TEXT(BaseVendas[[#This Row],[Data]],"mmm"))</f>
        <v>Jun</v>
      </c>
      <c r="F91" t="s">
        <v>7</v>
      </c>
      <c r="G91" s="3">
        <v>5756.86</v>
      </c>
      <c r="H91" t="s">
        <v>13</v>
      </c>
      <c r="I91" s="3">
        <v>19243.14</v>
      </c>
      <c r="J91" s="3">
        <f>BaseVendas[[#This Row],[Valor]]+BaseVendas[[#This Row],[Estimado]]</f>
        <v>25000</v>
      </c>
    </row>
    <row r="92" spans="3:10" x14ac:dyDescent="0.25">
      <c r="C92" s="1">
        <v>45830</v>
      </c>
      <c r="D92" s="4">
        <f>YEAR(BaseVendas[[#This Row],[Data]])</f>
        <v>2025</v>
      </c>
      <c r="E92" s="1" t="str">
        <f>PROPER(TEXT(BaseVendas[[#This Row],[Data]],"mmm"))</f>
        <v>Jun</v>
      </c>
      <c r="F92" t="s">
        <v>9</v>
      </c>
      <c r="G92" s="3">
        <v>5439.94</v>
      </c>
      <c r="H92" t="s">
        <v>12</v>
      </c>
      <c r="I92" s="3">
        <v>19560.060000000005</v>
      </c>
      <c r="J92" s="3">
        <f>BaseVendas[[#This Row],[Valor]]+BaseVendas[[#This Row],[Estimado]]</f>
        <v>25000.000000000004</v>
      </c>
    </row>
    <row r="93" spans="3:10" x14ac:dyDescent="0.25">
      <c r="C93" s="1">
        <v>45831</v>
      </c>
      <c r="D93" s="4">
        <f>YEAR(BaseVendas[[#This Row],[Data]])</f>
        <v>2025</v>
      </c>
      <c r="E93" s="1" t="str">
        <f>PROPER(TEXT(BaseVendas[[#This Row],[Data]],"mmm"))</f>
        <v>Jun</v>
      </c>
      <c r="F93" t="s">
        <v>9</v>
      </c>
      <c r="G93" s="3">
        <v>2340.46</v>
      </c>
      <c r="H93" t="s">
        <v>12</v>
      </c>
      <c r="I93" s="3">
        <v>22659.54</v>
      </c>
      <c r="J93" s="3">
        <f>BaseVendas[[#This Row],[Valor]]+BaseVendas[[#This Row],[Estimado]]</f>
        <v>25000</v>
      </c>
    </row>
    <row r="94" spans="3:10" x14ac:dyDescent="0.25">
      <c r="C94" s="1">
        <v>45831</v>
      </c>
      <c r="D94" s="4">
        <f>YEAR(BaseVendas[[#This Row],[Data]])</f>
        <v>2025</v>
      </c>
      <c r="E94" s="1" t="str">
        <f>PROPER(TEXT(BaseVendas[[#This Row],[Data]],"mmm"))</f>
        <v>Jun</v>
      </c>
      <c r="F94" t="s">
        <v>6</v>
      </c>
      <c r="G94" s="3">
        <v>6643.32</v>
      </c>
      <c r="H94" t="s">
        <v>12</v>
      </c>
      <c r="I94" s="3">
        <v>18356.68</v>
      </c>
      <c r="J94" s="3">
        <f>BaseVendas[[#This Row],[Valor]]+BaseVendas[[#This Row],[Estimado]]</f>
        <v>25000</v>
      </c>
    </row>
    <row r="95" spans="3:10" x14ac:dyDescent="0.25">
      <c r="C95" s="1">
        <v>45831</v>
      </c>
      <c r="D95" s="4">
        <f>YEAR(BaseVendas[[#This Row],[Data]])</f>
        <v>2025</v>
      </c>
      <c r="E95" s="1" t="str">
        <f>PROPER(TEXT(BaseVendas[[#This Row],[Data]],"mmm"))</f>
        <v>Jun</v>
      </c>
      <c r="F95" t="s">
        <v>9</v>
      </c>
      <c r="G95" s="3">
        <v>4843.3999999999996</v>
      </c>
      <c r="H95" t="s">
        <v>12</v>
      </c>
      <c r="I95" s="3">
        <v>20156.599999999999</v>
      </c>
      <c r="J95" s="3">
        <f>BaseVendas[[#This Row],[Valor]]+BaseVendas[[#This Row],[Estimado]]</f>
        <v>25000</v>
      </c>
    </row>
    <row r="96" spans="3:10" x14ac:dyDescent="0.25">
      <c r="C96" s="1">
        <v>45832</v>
      </c>
      <c r="D96" s="4">
        <f>YEAR(BaseVendas[[#This Row],[Data]])</f>
        <v>2025</v>
      </c>
      <c r="E96" s="1" t="str">
        <f>PROPER(TEXT(BaseVendas[[#This Row],[Data]],"mmm"))</f>
        <v>Jun</v>
      </c>
      <c r="F96" t="s">
        <v>6</v>
      </c>
      <c r="G96" s="3">
        <v>6113.28</v>
      </c>
      <c r="H96" t="s">
        <v>10</v>
      </c>
      <c r="I96" s="3">
        <v>18886.72</v>
      </c>
      <c r="J96" s="3">
        <f>BaseVendas[[#This Row],[Valor]]+BaseVendas[[#This Row],[Estimado]]</f>
        <v>25000</v>
      </c>
    </row>
    <row r="97" spans="3:10" x14ac:dyDescent="0.25">
      <c r="C97" s="1">
        <v>45832</v>
      </c>
      <c r="D97" s="4">
        <f>YEAR(BaseVendas[[#This Row],[Data]])</f>
        <v>2025</v>
      </c>
      <c r="E97" s="1" t="str">
        <f>PROPER(TEXT(BaseVendas[[#This Row],[Data]],"mmm"))</f>
        <v>Jun</v>
      </c>
      <c r="F97" t="s">
        <v>4</v>
      </c>
      <c r="G97" s="3">
        <v>6675.08</v>
      </c>
      <c r="H97" t="s">
        <v>10</v>
      </c>
      <c r="I97" s="3">
        <v>18324.919999999998</v>
      </c>
      <c r="J97" s="3">
        <f>BaseVendas[[#This Row],[Valor]]+BaseVendas[[#This Row],[Estimado]]</f>
        <v>25000</v>
      </c>
    </row>
    <row r="98" spans="3:10" x14ac:dyDescent="0.25">
      <c r="C98" s="1">
        <v>45833</v>
      </c>
      <c r="D98" s="4">
        <f>YEAR(BaseVendas[[#This Row],[Data]])</f>
        <v>2025</v>
      </c>
      <c r="E98" s="1" t="str">
        <f>PROPER(TEXT(BaseVendas[[#This Row],[Data]],"mmm"))</f>
        <v>Jun</v>
      </c>
      <c r="F98" t="s">
        <v>8</v>
      </c>
      <c r="G98" s="3">
        <v>978.41</v>
      </c>
      <c r="H98" t="s">
        <v>13</v>
      </c>
      <c r="I98" s="3">
        <v>24021.59</v>
      </c>
      <c r="J98" s="3">
        <f>BaseVendas[[#This Row],[Valor]]+BaseVendas[[#This Row],[Estimado]]</f>
        <v>25000</v>
      </c>
    </row>
    <row r="99" spans="3:10" x14ac:dyDescent="0.25">
      <c r="C99" s="1">
        <v>45833</v>
      </c>
      <c r="D99" s="4">
        <f>YEAR(BaseVendas[[#This Row],[Data]])</f>
        <v>2025</v>
      </c>
      <c r="E99" s="1" t="str">
        <f>PROPER(TEXT(BaseVendas[[#This Row],[Data]],"mmm"))</f>
        <v>Jun</v>
      </c>
      <c r="F99" t="s">
        <v>6</v>
      </c>
      <c r="G99" s="3">
        <v>2999.61</v>
      </c>
      <c r="H99" t="s">
        <v>13</v>
      </c>
      <c r="I99" s="3">
        <v>22000.39</v>
      </c>
      <c r="J99" s="3">
        <f>BaseVendas[[#This Row],[Valor]]+BaseVendas[[#This Row],[Estimado]]</f>
        <v>25000</v>
      </c>
    </row>
    <row r="100" spans="3:10" x14ac:dyDescent="0.25">
      <c r="C100" s="1">
        <v>45835</v>
      </c>
      <c r="D100" s="4">
        <f>YEAR(BaseVendas[[#This Row],[Data]])</f>
        <v>2025</v>
      </c>
      <c r="E100" s="1" t="str">
        <f>PROPER(TEXT(BaseVendas[[#This Row],[Data]],"mmm"))</f>
        <v>Jun</v>
      </c>
      <c r="F100" t="s">
        <v>8</v>
      </c>
      <c r="G100" s="3">
        <v>8834.9699999999993</v>
      </c>
      <c r="H100" t="s">
        <v>13</v>
      </c>
      <c r="I100" s="3">
        <v>16165.030000000002</v>
      </c>
      <c r="J100" s="3">
        <f>BaseVendas[[#This Row],[Valor]]+BaseVendas[[#This Row],[Estimado]]</f>
        <v>25000</v>
      </c>
    </row>
    <row r="101" spans="3:10" x14ac:dyDescent="0.25">
      <c r="C101" s="1">
        <v>45836</v>
      </c>
      <c r="D101" s="4">
        <f>YEAR(BaseVendas[[#This Row],[Data]])</f>
        <v>2025</v>
      </c>
      <c r="E101" s="1" t="str">
        <f>PROPER(TEXT(BaseVendas[[#This Row],[Data]],"mmm"))</f>
        <v>Jun</v>
      </c>
      <c r="F101" t="s">
        <v>4</v>
      </c>
      <c r="G101" s="3">
        <v>6734.42</v>
      </c>
      <c r="H101" t="s">
        <v>12</v>
      </c>
      <c r="I101" s="3">
        <v>18265.580000000002</v>
      </c>
      <c r="J101" s="3">
        <f>BaseVendas[[#This Row],[Valor]]+BaseVendas[[#This Row],[Estimado]]</f>
        <v>25000</v>
      </c>
    </row>
    <row r="102" spans="3:10" x14ac:dyDescent="0.25">
      <c r="C102" s="1">
        <v>45836</v>
      </c>
      <c r="D102" s="4">
        <f>YEAR(BaseVendas[[#This Row],[Data]])</f>
        <v>2025</v>
      </c>
      <c r="E102" s="1" t="str">
        <f>PROPER(TEXT(BaseVendas[[#This Row],[Data]],"mmm"))</f>
        <v>Jun</v>
      </c>
      <c r="F102" t="s">
        <v>5</v>
      </c>
      <c r="G102" s="3">
        <v>4087.12</v>
      </c>
      <c r="H102" t="s">
        <v>13</v>
      </c>
      <c r="I102" s="3">
        <v>20912.880000000005</v>
      </c>
      <c r="J102" s="3">
        <f>BaseVendas[[#This Row],[Valor]]+BaseVendas[[#This Row],[Estimado]]</f>
        <v>25000.000000000004</v>
      </c>
    </row>
    <row r="103" spans="3:10" x14ac:dyDescent="0.25">
      <c r="C103" s="1">
        <v>45836</v>
      </c>
      <c r="D103" s="4">
        <f>YEAR(BaseVendas[[#This Row],[Data]])</f>
        <v>2025</v>
      </c>
      <c r="E103" s="1" t="str">
        <f>PROPER(TEXT(BaseVendas[[#This Row],[Data]],"mmm"))</f>
        <v>Jun</v>
      </c>
      <c r="F103" t="s">
        <v>4</v>
      </c>
      <c r="G103" s="3">
        <v>2072.4</v>
      </c>
      <c r="H103" t="s">
        <v>12</v>
      </c>
      <c r="I103" s="3">
        <v>22927.599999999999</v>
      </c>
      <c r="J103" s="3">
        <f>BaseVendas[[#This Row],[Valor]]+BaseVendas[[#This Row],[Estimado]]</f>
        <v>25000</v>
      </c>
    </row>
    <row r="104" spans="3:10" x14ac:dyDescent="0.25">
      <c r="C104" s="1">
        <v>45837</v>
      </c>
      <c r="D104" s="4">
        <f>YEAR(BaseVendas[[#This Row],[Data]])</f>
        <v>2025</v>
      </c>
      <c r="E104" s="1" t="str">
        <f>PROPER(TEXT(BaseVendas[[#This Row],[Data]],"mmm"))</f>
        <v>Jun</v>
      </c>
      <c r="F104" t="s">
        <v>6</v>
      </c>
      <c r="G104" s="3">
        <v>7464.88</v>
      </c>
      <c r="H104" t="s">
        <v>10</v>
      </c>
      <c r="I104" s="3">
        <v>17535.12</v>
      </c>
      <c r="J104" s="3">
        <f>BaseVendas[[#This Row],[Valor]]+BaseVendas[[#This Row],[Estimado]]</f>
        <v>25000</v>
      </c>
    </row>
    <row r="105" spans="3:10" x14ac:dyDescent="0.25">
      <c r="C105" s="1">
        <v>45838</v>
      </c>
      <c r="D105" s="4">
        <f>YEAR(BaseVendas[[#This Row],[Data]])</f>
        <v>2025</v>
      </c>
      <c r="E105" s="1" t="str">
        <f>PROPER(TEXT(BaseVendas[[#This Row],[Data]],"mmm"))</f>
        <v>Jun</v>
      </c>
      <c r="F105" t="s">
        <v>8</v>
      </c>
      <c r="G105" s="3">
        <v>2743.87</v>
      </c>
      <c r="H105" t="s">
        <v>12</v>
      </c>
      <c r="I105" s="3">
        <v>22256.130000000005</v>
      </c>
      <c r="J105" s="3">
        <f>BaseVendas[[#This Row],[Valor]]+BaseVendas[[#This Row],[Estimado]]</f>
        <v>25000.000000000004</v>
      </c>
    </row>
    <row r="106" spans="3:10" x14ac:dyDescent="0.25">
      <c r="C106" s="1">
        <v>45839</v>
      </c>
      <c r="D106" s="4">
        <f>YEAR(BaseVendas[[#This Row],[Data]])</f>
        <v>2025</v>
      </c>
      <c r="E106" s="1" t="str">
        <f>PROPER(TEXT(BaseVendas[[#This Row],[Data]],"mmm"))</f>
        <v>Jul</v>
      </c>
      <c r="F106" t="s">
        <v>4</v>
      </c>
      <c r="G106" s="3">
        <v>3947.41</v>
      </c>
      <c r="H106" t="s">
        <v>11</v>
      </c>
      <c r="I106" s="3">
        <v>21052.59</v>
      </c>
      <c r="J106" s="3">
        <f>BaseVendas[[#This Row],[Valor]]+BaseVendas[[#This Row],[Estimado]]</f>
        <v>25000</v>
      </c>
    </row>
    <row r="107" spans="3:10" x14ac:dyDescent="0.25">
      <c r="C107" s="1">
        <v>45840</v>
      </c>
      <c r="D107" s="4">
        <f>YEAR(BaseVendas[[#This Row],[Data]])</f>
        <v>2025</v>
      </c>
      <c r="E107" s="1" t="str">
        <f>PROPER(TEXT(BaseVendas[[#This Row],[Data]],"mmm"))</f>
        <v>Jul</v>
      </c>
      <c r="F107" t="s">
        <v>6</v>
      </c>
      <c r="G107" s="3">
        <v>1272.73</v>
      </c>
      <c r="H107" t="s">
        <v>14</v>
      </c>
      <c r="I107" s="3">
        <v>23727.27</v>
      </c>
      <c r="J107" s="3">
        <f>BaseVendas[[#This Row],[Valor]]+BaseVendas[[#This Row],[Estimado]]</f>
        <v>25000</v>
      </c>
    </row>
    <row r="108" spans="3:10" x14ac:dyDescent="0.25">
      <c r="C108" s="1">
        <v>45840</v>
      </c>
      <c r="D108" s="4">
        <f>YEAR(BaseVendas[[#This Row],[Data]])</f>
        <v>2025</v>
      </c>
      <c r="E108" s="1" t="str">
        <f>PROPER(TEXT(BaseVendas[[#This Row],[Data]],"mmm"))</f>
        <v>Jul</v>
      </c>
      <c r="F108" t="s">
        <v>4</v>
      </c>
      <c r="G108" s="3">
        <v>2056.1799999999998</v>
      </c>
      <c r="H108" t="s">
        <v>11</v>
      </c>
      <c r="I108" s="3">
        <v>22943.82</v>
      </c>
      <c r="J108" s="3">
        <f>BaseVendas[[#This Row],[Valor]]+BaseVendas[[#This Row],[Estimado]]</f>
        <v>25000</v>
      </c>
    </row>
    <row r="109" spans="3:10" x14ac:dyDescent="0.25">
      <c r="C109" s="1">
        <v>45840</v>
      </c>
      <c r="D109" s="4">
        <f>YEAR(BaseVendas[[#This Row],[Data]])</f>
        <v>2025</v>
      </c>
      <c r="E109" s="1" t="str">
        <f>PROPER(TEXT(BaseVendas[[#This Row],[Data]],"mmm"))</f>
        <v>Jul</v>
      </c>
      <c r="F109" t="s">
        <v>7</v>
      </c>
      <c r="G109" s="3">
        <v>8051.03</v>
      </c>
      <c r="H109" t="s">
        <v>10</v>
      </c>
      <c r="I109" s="3">
        <v>16948.97</v>
      </c>
      <c r="J109" s="3">
        <f>BaseVendas[[#This Row],[Valor]]+BaseVendas[[#This Row],[Estimado]]</f>
        <v>25000</v>
      </c>
    </row>
    <row r="110" spans="3:10" x14ac:dyDescent="0.25">
      <c r="C110" s="1">
        <v>45841</v>
      </c>
      <c r="D110" s="4">
        <f>YEAR(BaseVendas[[#This Row],[Data]])</f>
        <v>2025</v>
      </c>
      <c r="E110" s="1" t="str">
        <f>PROPER(TEXT(BaseVendas[[#This Row],[Data]],"mmm"))</f>
        <v>Jul</v>
      </c>
      <c r="F110" t="s">
        <v>6</v>
      </c>
      <c r="G110" s="3">
        <v>6936.23</v>
      </c>
      <c r="H110" t="s">
        <v>11</v>
      </c>
      <c r="I110" s="3">
        <v>18063.77</v>
      </c>
      <c r="J110" s="3">
        <f>BaseVendas[[#This Row],[Valor]]+BaseVendas[[#This Row],[Estimado]]</f>
        <v>25000</v>
      </c>
    </row>
    <row r="111" spans="3:10" x14ac:dyDescent="0.25">
      <c r="C111" s="1">
        <v>45842</v>
      </c>
      <c r="D111" s="4">
        <f>YEAR(BaseVendas[[#This Row],[Data]])</f>
        <v>2025</v>
      </c>
      <c r="E111" s="1" t="str">
        <f>PROPER(TEXT(BaseVendas[[#This Row],[Data]],"mmm"))</f>
        <v>Jul</v>
      </c>
      <c r="F111" t="s">
        <v>7</v>
      </c>
      <c r="G111" s="3">
        <v>5243.87</v>
      </c>
      <c r="H111" t="s">
        <v>11</v>
      </c>
      <c r="I111" s="3">
        <v>19756.130000000005</v>
      </c>
      <c r="J111" s="3">
        <f>BaseVendas[[#This Row],[Valor]]+BaseVendas[[#This Row],[Estimado]]</f>
        <v>25000.000000000004</v>
      </c>
    </row>
    <row r="112" spans="3:10" x14ac:dyDescent="0.25">
      <c r="C112" s="1">
        <v>45842</v>
      </c>
      <c r="D112" s="4">
        <f>YEAR(BaseVendas[[#This Row],[Data]])</f>
        <v>2025</v>
      </c>
      <c r="E112" s="1" t="str">
        <f>PROPER(TEXT(BaseVendas[[#This Row],[Data]],"mmm"))</f>
        <v>Jul</v>
      </c>
      <c r="F112" t="s">
        <v>9</v>
      </c>
      <c r="G112" s="3">
        <v>9841.6200000000008</v>
      </c>
      <c r="H112" t="s">
        <v>12</v>
      </c>
      <c r="I112" s="3">
        <v>15158.380000000003</v>
      </c>
      <c r="J112" s="3">
        <f>BaseVendas[[#This Row],[Valor]]+BaseVendas[[#This Row],[Estimado]]</f>
        <v>25000.000000000004</v>
      </c>
    </row>
    <row r="113" spans="3:10" x14ac:dyDescent="0.25">
      <c r="C113" s="1">
        <v>45843</v>
      </c>
      <c r="D113" s="4">
        <f>YEAR(BaseVendas[[#This Row],[Data]])</f>
        <v>2025</v>
      </c>
      <c r="E113" s="1" t="str">
        <f>PROPER(TEXT(BaseVendas[[#This Row],[Data]],"mmm"))</f>
        <v>Jul</v>
      </c>
      <c r="F113" t="s">
        <v>9</v>
      </c>
      <c r="G113" s="3">
        <v>2644.72</v>
      </c>
      <c r="H113" t="s">
        <v>12</v>
      </c>
      <c r="I113" s="3">
        <v>22355.279999999999</v>
      </c>
      <c r="J113" s="3">
        <f>BaseVendas[[#This Row],[Valor]]+BaseVendas[[#This Row],[Estimado]]</f>
        <v>25000</v>
      </c>
    </row>
    <row r="114" spans="3:10" x14ac:dyDescent="0.25">
      <c r="C114" s="1">
        <v>45846</v>
      </c>
      <c r="D114" s="4">
        <f>YEAR(BaseVendas[[#This Row],[Data]])</f>
        <v>2025</v>
      </c>
      <c r="E114" s="1" t="str">
        <f>PROPER(TEXT(BaseVendas[[#This Row],[Data]],"mmm"))</f>
        <v>Jul</v>
      </c>
      <c r="F114" t="s">
        <v>8</v>
      </c>
      <c r="G114" s="3">
        <v>4747.6899999999996</v>
      </c>
      <c r="H114" t="s">
        <v>13</v>
      </c>
      <c r="I114" s="3">
        <v>20252.310000000005</v>
      </c>
      <c r="J114" s="3">
        <f>BaseVendas[[#This Row],[Valor]]+BaseVendas[[#This Row],[Estimado]]</f>
        <v>25000.000000000004</v>
      </c>
    </row>
    <row r="115" spans="3:10" x14ac:dyDescent="0.25">
      <c r="C115" s="1">
        <v>45846</v>
      </c>
      <c r="D115" s="4">
        <f>YEAR(BaseVendas[[#This Row],[Data]])</f>
        <v>2025</v>
      </c>
      <c r="E115" s="1" t="str">
        <f>PROPER(TEXT(BaseVendas[[#This Row],[Data]],"mmm"))</f>
        <v>Jul</v>
      </c>
      <c r="F115" t="s">
        <v>6</v>
      </c>
      <c r="G115" s="3">
        <v>9196.08</v>
      </c>
      <c r="H115" t="s">
        <v>14</v>
      </c>
      <c r="I115" s="3">
        <v>15803.920000000002</v>
      </c>
      <c r="J115" s="3">
        <f>BaseVendas[[#This Row],[Valor]]+BaseVendas[[#This Row],[Estimado]]</f>
        <v>25000</v>
      </c>
    </row>
    <row r="116" spans="3:10" x14ac:dyDescent="0.25">
      <c r="C116" s="1">
        <v>45847</v>
      </c>
      <c r="D116" s="4">
        <f>YEAR(BaseVendas[[#This Row],[Data]])</f>
        <v>2025</v>
      </c>
      <c r="E116" s="1" t="str">
        <f>PROPER(TEXT(BaseVendas[[#This Row],[Data]],"mmm"))</f>
        <v>Jul</v>
      </c>
      <c r="F116" t="s">
        <v>4</v>
      </c>
      <c r="G116" s="3">
        <v>1436.32</v>
      </c>
      <c r="H116" t="s">
        <v>11</v>
      </c>
      <c r="I116" s="3">
        <v>23563.68</v>
      </c>
      <c r="J116" s="3">
        <f>BaseVendas[[#This Row],[Valor]]+BaseVendas[[#This Row],[Estimado]]</f>
        <v>25000</v>
      </c>
    </row>
    <row r="117" spans="3:10" x14ac:dyDescent="0.25">
      <c r="C117" s="1">
        <v>45848</v>
      </c>
      <c r="D117" s="4">
        <f>YEAR(BaseVendas[[#This Row],[Data]])</f>
        <v>2025</v>
      </c>
      <c r="E117" s="1" t="str">
        <f>PROPER(TEXT(BaseVendas[[#This Row],[Data]],"mmm"))</f>
        <v>Jul</v>
      </c>
      <c r="F117" t="s">
        <v>8</v>
      </c>
      <c r="G117" s="3">
        <v>9164.08</v>
      </c>
      <c r="H117" t="s">
        <v>11</v>
      </c>
      <c r="I117" s="3">
        <v>15835.920000000002</v>
      </c>
      <c r="J117" s="3">
        <f>BaseVendas[[#This Row],[Valor]]+BaseVendas[[#This Row],[Estimado]]</f>
        <v>25000</v>
      </c>
    </row>
    <row r="118" spans="3:10" x14ac:dyDescent="0.25">
      <c r="C118" s="1">
        <v>45849</v>
      </c>
      <c r="D118" s="4">
        <f>YEAR(BaseVendas[[#This Row],[Data]])</f>
        <v>2025</v>
      </c>
      <c r="E118" s="1" t="str">
        <f>PROPER(TEXT(BaseVendas[[#This Row],[Data]],"mmm"))</f>
        <v>Jul</v>
      </c>
      <c r="F118" t="s">
        <v>9</v>
      </c>
      <c r="G118" s="3">
        <v>2744.31</v>
      </c>
      <c r="H118" t="s">
        <v>13</v>
      </c>
      <c r="I118" s="3">
        <v>22255.690000000002</v>
      </c>
      <c r="J118" s="3">
        <f>BaseVendas[[#This Row],[Valor]]+BaseVendas[[#This Row],[Estimado]]</f>
        <v>25000.000000000004</v>
      </c>
    </row>
    <row r="119" spans="3:10" x14ac:dyDescent="0.25">
      <c r="C119" s="1">
        <v>45850</v>
      </c>
      <c r="D119" s="4">
        <f>YEAR(BaseVendas[[#This Row],[Data]])</f>
        <v>2025</v>
      </c>
      <c r="E119" s="1" t="str">
        <f>PROPER(TEXT(BaseVendas[[#This Row],[Data]],"mmm"))</f>
        <v>Jul</v>
      </c>
      <c r="F119" t="s">
        <v>6</v>
      </c>
      <c r="G119" s="3">
        <v>995.9</v>
      </c>
      <c r="H119" t="s">
        <v>13</v>
      </c>
      <c r="I119" s="3">
        <v>24004.1</v>
      </c>
      <c r="J119" s="3">
        <f>BaseVendas[[#This Row],[Valor]]+BaseVendas[[#This Row],[Estimado]]</f>
        <v>25000</v>
      </c>
    </row>
    <row r="120" spans="3:10" x14ac:dyDescent="0.25">
      <c r="C120" s="1">
        <v>45850</v>
      </c>
      <c r="D120" s="4">
        <f>YEAR(BaseVendas[[#This Row],[Data]])</f>
        <v>2025</v>
      </c>
      <c r="E120" s="1" t="str">
        <f>PROPER(TEXT(BaseVendas[[#This Row],[Data]],"mmm"))</f>
        <v>Jul</v>
      </c>
      <c r="F120" t="s">
        <v>8</v>
      </c>
      <c r="G120" s="3">
        <v>2408</v>
      </c>
      <c r="H120" t="s">
        <v>13</v>
      </c>
      <c r="I120" s="3">
        <v>22592</v>
      </c>
      <c r="J120" s="3">
        <f>BaseVendas[[#This Row],[Valor]]+BaseVendas[[#This Row],[Estimado]]</f>
        <v>25000</v>
      </c>
    </row>
    <row r="121" spans="3:10" x14ac:dyDescent="0.25">
      <c r="C121" s="1">
        <v>45851</v>
      </c>
      <c r="D121" s="4">
        <f>YEAR(BaseVendas[[#This Row],[Data]])</f>
        <v>2025</v>
      </c>
      <c r="E121" s="1" t="str">
        <f>PROPER(TEXT(BaseVendas[[#This Row],[Data]],"mmm"))</f>
        <v>Jul</v>
      </c>
      <c r="F121" t="s">
        <v>5</v>
      </c>
      <c r="G121" s="3">
        <v>9967.36</v>
      </c>
      <c r="H121" t="s">
        <v>14</v>
      </c>
      <c r="I121" s="3">
        <v>15032.64</v>
      </c>
      <c r="J121" s="3">
        <f>BaseVendas[[#This Row],[Valor]]+BaseVendas[[#This Row],[Estimado]]</f>
        <v>25000</v>
      </c>
    </row>
    <row r="122" spans="3:10" x14ac:dyDescent="0.25">
      <c r="C122" s="1">
        <v>45851</v>
      </c>
      <c r="D122" s="4">
        <f>YEAR(BaseVendas[[#This Row],[Data]])</f>
        <v>2025</v>
      </c>
      <c r="E122" s="1" t="str">
        <f>PROPER(TEXT(BaseVendas[[#This Row],[Data]],"mmm"))</f>
        <v>Jul</v>
      </c>
      <c r="F122" t="s">
        <v>4</v>
      </c>
      <c r="G122" s="3">
        <v>1971.14</v>
      </c>
      <c r="H122" t="s">
        <v>13</v>
      </c>
      <c r="I122" s="3">
        <v>23028.86</v>
      </c>
      <c r="J122" s="3">
        <f>BaseVendas[[#This Row],[Valor]]+BaseVendas[[#This Row],[Estimado]]</f>
        <v>25000</v>
      </c>
    </row>
    <row r="123" spans="3:10" x14ac:dyDescent="0.25">
      <c r="C123" s="1">
        <v>45852</v>
      </c>
      <c r="D123" s="4">
        <f>YEAR(BaseVendas[[#This Row],[Data]])</f>
        <v>2025</v>
      </c>
      <c r="E123" s="1" t="str">
        <f>PROPER(TEXT(BaseVendas[[#This Row],[Data]],"mmm"))</f>
        <v>Jul</v>
      </c>
      <c r="F123" t="s">
        <v>8</v>
      </c>
      <c r="G123" s="3">
        <v>7704.46</v>
      </c>
      <c r="H123" t="s">
        <v>14</v>
      </c>
      <c r="I123" s="3">
        <v>17295.54</v>
      </c>
      <c r="J123" s="3">
        <f>BaseVendas[[#This Row],[Valor]]+BaseVendas[[#This Row],[Estimado]]</f>
        <v>25000</v>
      </c>
    </row>
    <row r="124" spans="3:10" x14ac:dyDescent="0.25">
      <c r="C124" s="1">
        <v>45852</v>
      </c>
      <c r="D124" s="4">
        <f>YEAR(BaseVendas[[#This Row],[Data]])</f>
        <v>2025</v>
      </c>
      <c r="E124" s="1" t="str">
        <f>PROPER(TEXT(BaseVendas[[#This Row],[Data]],"mmm"))</f>
        <v>Jul</v>
      </c>
      <c r="F124" t="s">
        <v>8</v>
      </c>
      <c r="G124" s="3">
        <v>348.93</v>
      </c>
      <c r="H124" t="s">
        <v>13</v>
      </c>
      <c r="I124" s="3">
        <v>24651.07</v>
      </c>
      <c r="J124" s="3">
        <f>BaseVendas[[#This Row],[Valor]]+BaseVendas[[#This Row],[Estimado]]</f>
        <v>25000</v>
      </c>
    </row>
    <row r="125" spans="3:10" x14ac:dyDescent="0.25">
      <c r="C125" s="1">
        <v>45852</v>
      </c>
      <c r="D125" s="4">
        <f>YEAR(BaseVendas[[#This Row],[Data]])</f>
        <v>2025</v>
      </c>
      <c r="E125" s="1" t="str">
        <f>PROPER(TEXT(BaseVendas[[#This Row],[Data]],"mmm"))</f>
        <v>Jul</v>
      </c>
      <c r="F125" t="s">
        <v>8</v>
      </c>
      <c r="G125" s="3">
        <v>8016.47</v>
      </c>
      <c r="H125" t="s">
        <v>10</v>
      </c>
      <c r="I125" s="3">
        <v>16983.53</v>
      </c>
      <c r="J125" s="3">
        <f>BaseVendas[[#This Row],[Valor]]+BaseVendas[[#This Row],[Estimado]]</f>
        <v>25000</v>
      </c>
    </row>
    <row r="126" spans="3:10" x14ac:dyDescent="0.25">
      <c r="C126" s="1">
        <v>45853</v>
      </c>
      <c r="D126" s="4">
        <f>YEAR(BaseVendas[[#This Row],[Data]])</f>
        <v>2025</v>
      </c>
      <c r="E126" s="1" t="str">
        <f>PROPER(TEXT(BaseVendas[[#This Row],[Data]],"mmm"))</f>
        <v>Jul</v>
      </c>
      <c r="F126" t="s">
        <v>5</v>
      </c>
      <c r="G126" s="3">
        <v>2887.15</v>
      </c>
      <c r="H126" t="s">
        <v>13</v>
      </c>
      <c r="I126" s="3">
        <v>22112.85</v>
      </c>
      <c r="J126" s="3">
        <f>BaseVendas[[#This Row],[Valor]]+BaseVendas[[#This Row],[Estimado]]</f>
        <v>25000</v>
      </c>
    </row>
    <row r="127" spans="3:10" x14ac:dyDescent="0.25">
      <c r="C127" s="1">
        <v>45853</v>
      </c>
      <c r="D127" s="4">
        <f>YEAR(BaseVendas[[#This Row],[Data]])</f>
        <v>2025</v>
      </c>
      <c r="E127" s="1" t="str">
        <f>PROPER(TEXT(BaseVendas[[#This Row],[Data]],"mmm"))</f>
        <v>Jul</v>
      </c>
      <c r="F127" t="s">
        <v>7</v>
      </c>
      <c r="G127" s="3">
        <v>8653.56</v>
      </c>
      <c r="H127" t="s">
        <v>13</v>
      </c>
      <c r="I127" s="3">
        <v>16346.44</v>
      </c>
      <c r="J127" s="3">
        <f>BaseVendas[[#This Row],[Valor]]+BaseVendas[[#This Row],[Estimado]]</f>
        <v>25000</v>
      </c>
    </row>
    <row r="128" spans="3:10" x14ac:dyDescent="0.25">
      <c r="C128" s="1">
        <v>45854</v>
      </c>
      <c r="D128" s="4">
        <f>YEAR(BaseVendas[[#This Row],[Data]])</f>
        <v>2025</v>
      </c>
      <c r="E128" s="1" t="str">
        <f>PROPER(TEXT(BaseVendas[[#This Row],[Data]],"mmm"))</f>
        <v>Jul</v>
      </c>
      <c r="F128" t="s">
        <v>8</v>
      </c>
      <c r="G128" s="3">
        <v>3392.66</v>
      </c>
      <c r="H128" t="s">
        <v>14</v>
      </c>
      <c r="I128" s="3">
        <v>21607.34</v>
      </c>
      <c r="J128" s="3">
        <f>BaseVendas[[#This Row],[Valor]]+BaseVendas[[#This Row],[Estimado]]</f>
        <v>25000</v>
      </c>
    </row>
    <row r="129" spans="3:10" x14ac:dyDescent="0.25">
      <c r="C129" s="1">
        <v>45854</v>
      </c>
      <c r="D129" s="4">
        <f>YEAR(BaseVendas[[#This Row],[Data]])</f>
        <v>2025</v>
      </c>
      <c r="E129" s="1" t="str">
        <f>PROPER(TEXT(BaseVendas[[#This Row],[Data]],"mmm"))</f>
        <v>Jul</v>
      </c>
      <c r="F129" t="s">
        <v>9</v>
      </c>
      <c r="G129" s="3">
        <v>2649.81</v>
      </c>
      <c r="H129" t="s">
        <v>14</v>
      </c>
      <c r="I129" s="3">
        <v>22350.190000000002</v>
      </c>
      <c r="J129" s="3">
        <f>BaseVendas[[#This Row],[Valor]]+BaseVendas[[#This Row],[Estimado]]</f>
        <v>25000.000000000004</v>
      </c>
    </row>
    <row r="130" spans="3:10" x14ac:dyDescent="0.25">
      <c r="C130" s="1">
        <v>45854</v>
      </c>
      <c r="D130" s="4">
        <f>YEAR(BaseVendas[[#This Row],[Data]])</f>
        <v>2025</v>
      </c>
      <c r="E130" s="1" t="str">
        <f>PROPER(TEXT(BaseVendas[[#This Row],[Data]],"mmm"))</f>
        <v>Jul</v>
      </c>
      <c r="F130" t="s">
        <v>8</v>
      </c>
      <c r="G130" s="3">
        <v>2840.07</v>
      </c>
      <c r="H130" t="s">
        <v>10</v>
      </c>
      <c r="I130" s="3">
        <v>22159.93</v>
      </c>
      <c r="J130" s="3">
        <f>BaseVendas[[#This Row],[Valor]]+BaseVendas[[#This Row],[Estimado]]</f>
        <v>25000</v>
      </c>
    </row>
    <row r="131" spans="3:10" x14ac:dyDescent="0.25">
      <c r="C131" s="1">
        <v>45855</v>
      </c>
      <c r="D131" s="4">
        <f>YEAR(BaseVendas[[#This Row],[Data]])</f>
        <v>2025</v>
      </c>
      <c r="E131" s="1" t="str">
        <f>PROPER(TEXT(BaseVendas[[#This Row],[Data]],"mmm"))</f>
        <v>Jul</v>
      </c>
      <c r="F131" t="s">
        <v>6</v>
      </c>
      <c r="G131" s="3">
        <v>5396.52</v>
      </c>
      <c r="H131" t="s">
        <v>12</v>
      </c>
      <c r="I131" s="3">
        <v>19603.48</v>
      </c>
      <c r="J131" s="3">
        <f>BaseVendas[[#This Row],[Valor]]+BaseVendas[[#This Row],[Estimado]]</f>
        <v>25000</v>
      </c>
    </row>
    <row r="132" spans="3:10" x14ac:dyDescent="0.25">
      <c r="C132" s="1">
        <v>45855</v>
      </c>
      <c r="D132" s="4">
        <f>YEAR(BaseVendas[[#This Row],[Data]])</f>
        <v>2025</v>
      </c>
      <c r="E132" s="1" t="str">
        <f>PROPER(TEXT(BaseVendas[[#This Row],[Data]],"mmm"))</f>
        <v>Jul</v>
      </c>
      <c r="F132" t="s">
        <v>7</v>
      </c>
      <c r="G132" s="3">
        <v>5517.09</v>
      </c>
      <c r="H132" t="s">
        <v>11</v>
      </c>
      <c r="I132" s="3">
        <v>19482.91</v>
      </c>
      <c r="J132" s="3">
        <f>BaseVendas[[#This Row],[Valor]]+BaseVendas[[#This Row],[Estimado]]</f>
        <v>25000</v>
      </c>
    </row>
    <row r="133" spans="3:10" x14ac:dyDescent="0.25">
      <c r="C133" s="1">
        <v>45857</v>
      </c>
      <c r="D133" s="4">
        <f>YEAR(BaseVendas[[#This Row],[Data]])</f>
        <v>2025</v>
      </c>
      <c r="E133" s="1" t="str">
        <f>PROPER(TEXT(BaseVendas[[#This Row],[Data]],"mmm"))</f>
        <v>Jul</v>
      </c>
      <c r="F133" t="s">
        <v>9</v>
      </c>
      <c r="G133" s="3">
        <v>8746.7900000000009</v>
      </c>
      <c r="H133" t="s">
        <v>12</v>
      </c>
      <c r="I133" s="3">
        <v>16253.21</v>
      </c>
      <c r="J133" s="3">
        <f>BaseVendas[[#This Row],[Valor]]+BaseVendas[[#This Row],[Estimado]]</f>
        <v>25000</v>
      </c>
    </row>
    <row r="134" spans="3:10" x14ac:dyDescent="0.25">
      <c r="C134" s="1">
        <v>45858</v>
      </c>
      <c r="D134" s="4">
        <f>YEAR(BaseVendas[[#This Row],[Data]])</f>
        <v>2025</v>
      </c>
      <c r="E134" s="1" t="str">
        <f>PROPER(TEXT(BaseVendas[[#This Row],[Data]],"mmm"))</f>
        <v>Jul</v>
      </c>
      <c r="F134" t="s">
        <v>9</v>
      </c>
      <c r="G134" s="3">
        <v>2334.96</v>
      </c>
      <c r="H134" t="s">
        <v>10</v>
      </c>
      <c r="I134" s="3">
        <v>22665.040000000001</v>
      </c>
      <c r="J134" s="3">
        <f>BaseVendas[[#This Row],[Valor]]+BaseVendas[[#This Row],[Estimado]]</f>
        <v>25000</v>
      </c>
    </row>
    <row r="135" spans="3:10" x14ac:dyDescent="0.25">
      <c r="C135" s="1">
        <v>45859</v>
      </c>
      <c r="D135" s="4">
        <f>YEAR(BaseVendas[[#This Row],[Data]])</f>
        <v>2025</v>
      </c>
      <c r="E135" s="1" t="str">
        <f>PROPER(TEXT(BaseVendas[[#This Row],[Data]],"mmm"))</f>
        <v>Jul</v>
      </c>
      <c r="F135" t="s">
        <v>9</v>
      </c>
      <c r="G135" s="3">
        <v>2371.36</v>
      </c>
      <c r="H135" t="s">
        <v>12</v>
      </c>
      <c r="I135" s="3">
        <v>22628.639999999999</v>
      </c>
      <c r="J135" s="3">
        <f>BaseVendas[[#This Row],[Valor]]+BaseVendas[[#This Row],[Estimado]]</f>
        <v>25000</v>
      </c>
    </row>
    <row r="136" spans="3:10" x14ac:dyDescent="0.25">
      <c r="C136" s="1">
        <v>45859</v>
      </c>
      <c r="D136" s="4">
        <f>YEAR(BaseVendas[[#This Row],[Data]])</f>
        <v>2025</v>
      </c>
      <c r="E136" s="1" t="str">
        <f>PROPER(TEXT(BaseVendas[[#This Row],[Data]],"mmm"))</f>
        <v>Jul</v>
      </c>
      <c r="F136" t="s">
        <v>4</v>
      </c>
      <c r="G136" s="3">
        <v>7534.83</v>
      </c>
      <c r="H136" t="s">
        <v>10</v>
      </c>
      <c r="I136" s="3">
        <v>17465.170000000002</v>
      </c>
      <c r="J136" s="3">
        <f>BaseVendas[[#This Row],[Valor]]+BaseVendas[[#This Row],[Estimado]]</f>
        <v>25000</v>
      </c>
    </row>
    <row r="137" spans="3:10" x14ac:dyDescent="0.25">
      <c r="C137" s="1">
        <v>45859</v>
      </c>
      <c r="D137" s="4">
        <f>YEAR(BaseVendas[[#This Row],[Data]])</f>
        <v>2025</v>
      </c>
      <c r="E137" s="1" t="str">
        <f>PROPER(TEXT(BaseVendas[[#This Row],[Data]],"mmm"))</f>
        <v>Jul</v>
      </c>
      <c r="F137" t="s">
        <v>7</v>
      </c>
      <c r="G137" s="3">
        <v>3086.1</v>
      </c>
      <c r="H137" t="s">
        <v>12</v>
      </c>
      <c r="I137" s="3">
        <v>21913.9</v>
      </c>
      <c r="J137" s="3">
        <f>BaseVendas[[#This Row],[Valor]]+BaseVendas[[#This Row],[Estimado]]</f>
        <v>25000</v>
      </c>
    </row>
    <row r="138" spans="3:10" x14ac:dyDescent="0.25">
      <c r="C138" s="1">
        <v>45860</v>
      </c>
      <c r="D138" s="4">
        <f>YEAR(BaseVendas[[#This Row],[Data]])</f>
        <v>2025</v>
      </c>
      <c r="E138" s="1" t="str">
        <f>PROPER(TEXT(BaseVendas[[#This Row],[Data]],"mmm"))</f>
        <v>Jul</v>
      </c>
      <c r="F138" t="s">
        <v>5</v>
      </c>
      <c r="G138" s="3">
        <v>4063.98</v>
      </c>
      <c r="H138" t="s">
        <v>11</v>
      </c>
      <c r="I138" s="3">
        <v>20936.02</v>
      </c>
      <c r="J138" s="3">
        <f>BaseVendas[[#This Row],[Valor]]+BaseVendas[[#This Row],[Estimado]]</f>
        <v>25000</v>
      </c>
    </row>
    <row r="139" spans="3:10" x14ac:dyDescent="0.25">
      <c r="C139" s="1">
        <v>45860</v>
      </c>
      <c r="D139" s="4">
        <f>YEAR(BaseVendas[[#This Row],[Data]])</f>
        <v>2025</v>
      </c>
      <c r="E139" s="1" t="str">
        <f>PROPER(TEXT(BaseVendas[[#This Row],[Data]],"mmm"))</f>
        <v>Jul</v>
      </c>
      <c r="F139" t="s">
        <v>7</v>
      </c>
      <c r="G139" s="3">
        <v>4549.55</v>
      </c>
      <c r="H139" t="s">
        <v>12</v>
      </c>
      <c r="I139" s="3">
        <v>20450.450000000004</v>
      </c>
      <c r="J139" s="3">
        <f>BaseVendas[[#This Row],[Valor]]+BaseVendas[[#This Row],[Estimado]]</f>
        <v>25000.000000000004</v>
      </c>
    </row>
    <row r="140" spans="3:10" x14ac:dyDescent="0.25">
      <c r="C140" s="1">
        <v>45860</v>
      </c>
      <c r="D140" s="4">
        <f>YEAR(BaseVendas[[#This Row],[Data]])</f>
        <v>2025</v>
      </c>
      <c r="E140" s="1" t="str">
        <f>PROPER(TEXT(BaseVendas[[#This Row],[Data]],"mmm"))</f>
        <v>Jul</v>
      </c>
      <c r="F140" t="s">
        <v>5</v>
      </c>
      <c r="G140" s="3">
        <v>9541.1</v>
      </c>
      <c r="H140" t="s">
        <v>12</v>
      </c>
      <c r="I140" s="3">
        <v>15458.900000000001</v>
      </c>
      <c r="J140" s="3">
        <f>BaseVendas[[#This Row],[Valor]]+BaseVendas[[#This Row],[Estimado]]</f>
        <v>25000</v>
      </c>
    </row>
    <row r="141" spans="3:10" x14ac:dyDescent="0.25">
      <c r="C141" s="1">
        <v>45860</v>
      </c>
      <c r="D141" s="4">
        <f>YEAR(BaseVendas[[#This Row],[Data]])</f>
        <v>2025</v>
      </c>
      <c r="E141" s="1" t="str">
        <f>PROPER(TEXT(BaseVendas[[#This Row],[Data]],"mmm"))</f>
        <v>Jul</v>
      </c>
      <c r="F141" t="s">
        <v>4</v>
      </c>
      <c r="G141" s="3">
        <v>2299.38</v>
      </c>
      <c r="H141" t="s">
        <v>12</v>
      </c>
      <c r="I141" s="3">
        <v>22700.619999999995</v>
      </c>
      <c r="J141" s="3">
        <f>BaseVendas[[#This Row],[Valor]]+BaseVendas[[#This Row],[Estimado]]</f>
        <v>24999.999999999996</v>
      </c>
    </row>
    <row r="142" spans="3:10" x14ac:dyDescent="0.25">
      <c r="C142" s="1">
        <v>45861</v>
      </c>
      <c r="D142" s="4">
        <f>YEAR(BaseVendas[[#This Row],[Data]])</f>
        <v>2025</v>
      </c>
      <c r="E142" s="1" t="str">
        <f>PROPER(TEXT(BaseVendas[[#This Row],[Data]],"mmm"))</f>
        <v>Jul</v>
      </c>
      <c r="F142" t="s">
        <v>9</v>
      </c>
      <c r="G142" s="3">
        <v>1122.45</v>
      </c>
      <c r="H142" t="s">
        <v>10</v>
      </c>
      <c r="I142" s="3">
        <v>23877.549999999996</v>
      </c>
      <c r="J142" s="3">
        <f>BaseVendas[[#This Row],[Valor]]+BaseVendas[[#This Row],[Estimado]]</f>
        <v>24999.999999999996</v>
      </c>
    </row>
    <row r="143" spans="3:10" x14ac:dyDescent="0.25">
      <c r="C143" s="1">
        <v>45862</v>
      </c>
      <c r="D143" s="4">
        <f>YEAR(BaseVendas[[#This Row],[Data]])</f>
        <v>2025</v>
      </c>
      <c r="E143" s="1" t="str">
        <f>PROPER(TEXT(BaseVendas[[#This Row],[Data]],"mmm"))</f>
        <v>Jul</v>
      </c>
      <c r="F143" t="s">
        <v>6</v>
      </c>
      <c r="G143" s="3">
        <v>8026.52</v>
      </c>
      <c r="H143" t="s">
        <v>14</v>
      </c>
      <c r="I143" s="3">
        <v>16973.48</v>
      </c>
      <c r="J143" s="3">
        <f>BaseVendas[[#This Row],[Valor]]+BaseVendas[[#This Row],[Estimado]]</f>
        <v>25000</v>
      </c>
    </row>
    <row r="144" spans="3:10" x14ac:dyDescent="0.25">
      <c r="C144" s="1">
        <v>45863</v>
      </c>
      <c r="D144" s="4">
        <f>YEAR(BaseVendas[[#This Row],[Data]])</f>
        <v>2025</v>
      </c>
      <c r="E144" s="1" t="str">
        <f>PROPER(TEXT(BaseVendas[[#This Row],[Data]],"mmm"))</f>
        <v>Jul</v>
      </c>
      <c r="F144" t="s">
        <v>8</v>
      </c>
      <c r="G144" s="3">
        <v>9206.7999999999993</v>
      </c>
      <c r="H144" t="s">
        <v>12</v>
      </c>
      <c r="I144" s="3">
        <v>15793.2</v>
      </c>
      <c r="J144" s="3">
        <f>BaseVendas[[#This Row],[Valor]]+BaseVendas[[#This Row],[Estimado]]</f>
        <v>25000</v>
      </c>
    </row>
    <row r="145" spans="3:10" x14ac:dyDescent="0.25">
      <c r="C145" s="1">
        <v>45865</v>
      </c>
      <c r="D145" s="4">
        <f>YEAR(BaseVendas[[#This Row],[Data]])</f>
        <v>2025</v>
      </c>
      <c r="E145" s="1" t="str">
        <f>PROPER(TEXT(BaseVendas[[#This Row],[Data]],"mmm"))</f>
        <v>Jul</v>
      </c>
      <c r="F145" t="s">
        <v>9</v>
      </c>
      <c r="G145" s="3">
        <v>2790.26</v>
      </c>
      <c r="H145" t="s">
        <v>13</v>
      </c>
      <c r="I145" s="3">
        <v>22209.739999999998</v>
      </c>
      <c r="J145" s="3">
        <f>BaseVendas[[#This Row],[Valor]]+BaseVendas[[#This Row],[Estimado]]</f>
        <v>25000</v>
      </c>
    </row>
    <row r="146" spans="3:10" x14ac:dyDescent="0.25">
      <c r="C146" s="1">
        <v>45865</v>
      </c>
      <c r="D146" s="4">
        <f>YEAR(BaseVendas[[#This Row],[Data]])</f>
        <v>2025</v>
      </c>
      <c r="E146" s="1" t="str">
        <f>PROPER(TEXT(BaseVendas[[#This Row],[Data]],"mmm"))</f>
        <v>Jul</v>
      </c>
      <c r="F146" t="s">
        <v>8</v>
      </c>
      <c r="G146" s="3">
        <v>7658.56</v>
      </c>
      <c r="H146" t="s">
        <v>13</v>
      </c>
      <c r="I146" s="3">
        <v>17341.439999999999</v>
      </c>
      <c r="J146" s="3">
        <f>BaseVendas[[#This Row],[Valor]]+BaseVendas[[#This Row],[Estimado]]</f>
        <v>25000</v>
      </c>
    </row>
    <row r="147" spans="3:10" x14ac:dyDescent="0.25">
      <c r="C147" s="1">
        <v>45865</v>
      </c>
      <c r="D147" s="4">
        <f>YEAR(BaseVendas[[#This Row],[Data]])</f>
        <v>2025</v>
      </c>
      <c r="E147" s="1" t="str">
        <f>PROPER(TEXT(BaseVendas[[#This Row],[Data]],"mmm"))</f>
        <v>Jul</v>
      </c>
      <c r="F147" t="s">
        <v>8</v>
      </c>
      <c r="G147" s="3">
        <v>6692.71</v>
      </c>
      <c r="H147" t="s">
        <v>14</v>
      </c>
      <c r="I147" s="3">
        <v>18307.29</v>
      </c>
      <c r="J147" s="3">
        <f>BaseVendas[[#This Row],[Valor]]+BaseVendas[[#This Row],[Estimado]]</f>
        <v>25000</v>
      </c>
    </row>
    <row r="148" spans="3:10" x14ac:dyDescent="0.25">
      <c r="C148" s="1">
        <v>45866</v>
      </c>
      <c r="D148" s="4">
        <f>YEAR(BaseVendas[[#This Row],[Data]])</f>
        <v>2025</v>
      </c>
      <c r="E148" s="1" t="str">
        <f>PROPER(TEXT(BaseVendas[[#This Row],[Data]],"mmm"))</f>
        <v>Jul</v>
      </c>
      <c r="F148" t="s">
        <v>8</v>
      </c>
      <c r="G148" s="3">
        <v>8465.39</v>
      </c>
      <c r="H148" t="s">
        <v>10</v>
      </c>
      <c r="I148" s="3">
        <v>16534.61</v>
      </c>
      <c r="J148" s="3">
        <f>BaseVendas[[#This Row],[Valor]]+BaseVendas[[#This Row],[Estimado]]</f>
        <v>25000</v>
      </c>
    </row>
    <row r="149" spans="3:10" x14ac:dyDescent="0.25">
      <c r="C149" s="1">
        <v>45867</v>
      </c>
      <c r="D149" s="4">
        <f>YEAR(BaseVendas[[#This Row],[Data]])</f>
        <v>2025</v>
      </c>
      <c r="E149" s="1" t="str">
        <f>PROPER(TEXT(BaseVendas[[#This Row],[Data]],"mmm"))</f>
        <v>Jul</v>
      </c>
      <c r="F149" t="s">
        <v>7</v>
      </c>
      <c r="G149" s="3">
        <v>7909.6</v>
      </c>
      <c r="H149" t="s">
        <v>13</v>
      </c>
      <c r="I149" s="3">
        <v>17090.399999999998</v>
      </c>
      <c r="J149" s="3">
        <f>BaseVendas[[#This Row],[Valor]]+BaseVendas[[#This Row],[Estimado]]</f>
        <v>25000</v>
      </c>
    </row>
    <row r="150" spans="3:10" x14ac:dyDescent="0.25">
      <c r="C150" s="1">
        <v>45867</v>
      </c>
      <c r="D150" s="4">
        <f>YEAR(BaseVendas[[#This Row],[Data]])</f>
        <v>2025</v>
      </c>
      <c r="E150" s="1" t="str">
        <f>PROPER(TEXT(BaseVendas[[#This Row],[Data]],"mmm"))</f>
        <v>Jul</v>
      </c>
      <c r="F150" t="s">
        <v>9</v>
      </c>
      <c r="G150" s="3">
        <v>7056.31</v>
      </c>
      <c r="H150" t="s">
        <v>11</v>
      </c>
      <c r="I150" s="3">
        <v>17943.689999999999</v>
      </c>
      <c r="J150" s="3">
        <f>BaseVendas[[#This Row],[Valor]]+BaseVendas[[#This Row],[Estimado]]</f>
        <v>25000</v>
      </c>
    </row>
    <row r="151" spans="3:10" x14ac:dyDescent="0.25">
      <c r="C151" s="1">
        <v>45867</v>
      </c>
      <c r="D151" s="4">
        <f>YEAR(BaseVendas[[#This Row],[Data]])</f>
        <v>2025</v>
      </c>
      <c r="E151" s="1" t="str">
        <f>PROPER(TEXT(BaseVendas[[#This Row],[Data]],"mmm"))</f>
        <v>Jul</v>
      </c>
      <c r="F151" t="s">
        <v>9</v>
      </c>
      <c r="G151" s="3">
        <v>1471.14</v>
      </c>
      <c r="H151" t="s">
        <v>13</v>
      </c>
      <c r="I151" s="3">
        <v>23528.86</v>
      </c>
      <c r="J151" s="3">
        <f>BaseVendas[[#This Row],[Valor]]+BaseVendas[[#This Row],[Estimado]]</f>
        <v>25000</v>
      </c>
    </row>
  </sheetData>
  <hyperlinks>
    <hyperlink ref="A11" location="Calculos!A1" display="Calculos!A1" xr:uid="{8B32CE1B-7CA5-46E8-BFF2-E0B1975F796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odo_zoom">
                <anchor moveWithCells="1" sizeWithCells="1">
                  <from>
                    <xdr:col>13</xdr:col>
                    <xdr:colOff>495300</xdr:colOff>
                    <xdr:row>1</xdr:row>
                    <xdr:rowOff>57150</xdr:rowOff>
                  </from>
                  <to>
                    <xdr:col>16</xdr:col>
                    <xdr:colOff>457200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tigiMeta">
                <anchor moveWithCells="1" sizeWithCells="1">
                  <from>
                    <xdr:col>13</xdr:col>
                    <xdr:colOff>523875</xdr:colOff>
                    <xdr:row>4</xdr:row>
                    <xdr:rowOff>171450</xdr:rowOff>
                  </from>
                  <to>
                    <xdr:col>16</xdr:col>
                    <xdr:colOff>552450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B9792E5-3C30-452E-BD0B-499422A58F7B}">
          <x14:formula1>
            <xm:f>Cadastro!$C$2:$C$7</xm:f>
          </x14:formula1>
          <xm:sqref>F2:F151</xm:sqref>
        </x14:dataValidation>
        <x14:dataValidation type="list" allowBlank="1" showInputMessage="1" showErrorMessage="1" xr:uid="{4114F827-F07E-4BDC-8241-1B4E281C6AAA}">
          <x14:formula1>
            <xm:f>Cadastro!$D$2:$D$6</xm:f>
          </x14:formula1>
          <xm:sqref>H2:H151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53D02-D50F-4FE7-9BB9-781A618F74FB}">
  <sheetPr codeName="Planilha3"/>
  <dimension ref="C1:D7"/>
  <sheetViews>
    <sheetView showGridLines="0" zoomScale="120" zoomScaleNormal="120" workbookViewId="0">
      <selection activeCell="D4" sqref="D4"/>
    </sheetView>
  </sheetViews>
  <sheetFormatPr defaultRowHeight="15" x14ac:dyDescent="0.25"/>
  <cols>
    <col min="1" max="1" width="26.42578125" customWidth="1"/>
    <col min="3" max="3" width="9.85546875" bestFit="1" customWidth="1"/>
  </cols>
  <sheetData>
    <row r="1" spans="3:4" x14ac:dyDescent="0.25">
      <c r="C1" s="2" t="s">
        <v>1</v>
      </c>
      <c r="D1" s="2" t="s">
        <v>15</v>
      </c>
    </row>
    <row r="2" spans="3:4" x14ac:dyDescent="0.25">
      <c r="C2" t="str" cm="1">
        <f t="array" ref="C2:C7">_xlfn.UNIQUE(Base!F2:F151)</f>
        <v>Bruno</v>
      </c>
      <c r="D2" t="str" cm="1">
        <f t="array" ref="D2:D6">_xlfn.UNIQUE(Base!H2:H151)</f>
        <v>Centro-Oeste</v>
      </c>
    </row>
    <row r="3" spans="3:4" x14ac:dyDescent="0.25">
      <c r="C3" t="str">
        <v>Carlos</v>
      </c>
      <c r="D3" t="str">
        <v>Sul</v>
      </c>
    </row>
    <row r="4" spans="3:4" x14ac:dyDescent="0.25">
      <c r="C4" t="str">
        <v>Fernanda</v>
      </c>
      <c r="D4" t="str">
        <v>Oeste</v>
      </c>
    </row>
    <row r="5" spans="3:4" x14ac:dyDescent="0.25">
      <c r="C5" t="str">
        <v>Eduardo</v>
      </c>
      <c r="D5" t="str">
        <v>Leste</v>
      </c>
    </row>
    <row r="6" spans="3:4" x14ac:dyDescent="0.25">
      <c r="C6" t="str">
        <v>Daniela</v>
      </c>
      <c r="D6" t="str">
        <v>Norte</v>
      </c>
    </row>
    <row r="7" spans="3:4" x14ac:dyDescent="0.25">
      <c r="C7" t="str">
        <v>Ana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B64EA-F368-48BE-BF45-A04A67961B13}">
  <sheetPr codeName="Planilha4"/>
  <dimension ref="F4:Q22"/>
  <sheetViews>
    <sheetView showGridLines="0" zoomScale="120" zoomScaleNormal="120" workbookViewId="0"/>
  </sheetViews>
  <sheetFormatPr defaultRowHeight="15" x14ac:dyDescent="0.25"/>
  <cols>
    <col min="6" max="6" width="13.140625" bestFit="1" customWidth="1"/>
    <col min="7" max="8" width="13.42578125" bestFit="1" customWidth="1"/>
    <col min="10" max="10" width="12.140625" bestFit="1" customWidth="1"/>
    <col min="11" max="11" width="22.85546875" bestFit="1" customWidth="1"/>
    <col min="14" max="14" width="12.140625" bestFit="1" customWidth="1"/>
    <col min="15" max="15" width="13.42578125" bestFit="1" customWidth="1"/>
    <col min="16" max="16" width="17.85546875" bestFit="1" customWidth="1"/>
    <col min="17" max="17" width="13.42578125" bestFit="1" customWidth="1"/>
    <col min="20" max="20" width="13.42578125" bestFit="1" customWidth="1"/>
    <col min="21" max="21" width="17.85546875" bestFit="1" customWidth="1"/>
  </cols>
  <sheetData>
    <row r="4" spans="6:17" x14ac:dyDescent="0.25">
      <c r="F4" s="7" t="s">
        <v>21</v>
      </c>
      <c r="G4" t="s">
        <v>22</v>
      </c>
      <c r="J4" s="7" t="s">
        <v>1</v>
      </c>
      <c r="K4" t="s">
        <v>22</v>
      </c>
      <c r="N4" s="7" t="s">
        <v>1</v>
      </c>
      <c r="O4" t="s">
        <v>22</v>
      </c>
      <c r="P4" t="s">
        <v>23</v>
      </c>
      <c r="Q4" t="s">
        <v>18</v>
      </c>
    </row>
    <row r="5" spans="6:17" x14ac:dyDescent="0.25">
      <c r="F5" s="8" t="s">
        <v>11</v>
      </c>
      <c r="G5" s="3">
        <v>134782.1</v>
      </c>
      <c r="J5" s="8" t="s">
        <v>5</v>
      </c>
      <c r="K5" s="3">
        <v>121750.55999999998</v>
      </c>
      <c r="N5" s="8" t="s">
        <v>5</v>
      </c>
      <c r="O5" s="3">
        <v>121750.55999999998</v>
      </c>
      <c r="P5" s="3">
        <v>353249.44</v>
      </c>
      <c r="Q5" s="3">
        <f>O5+P5</f>
        <v>475000</v>
      </c>
    </row>
    <row r="6" spans="6:17" x14ac:dyDescent="0.25">
      <c r="F6" s="8" t="s">
        <v>10</v>
      </c>
      <c r="G6" s="3">
        <v>140866.72000000003</v>
      </c>
      <c r="J6" s="8" t="s">
        <v>6</v>
      </c>
      <c r="K6" s="3">
        <v>136086.22</v>
      </c>
      <c r="N6" s="8" t="s">
        <v>6</v>
      </c>
      <c r="O6" s="3">
        <v>136086.22</v>
      </c>
      <c r="P6" s="3">
        <v>488913.77999999997</v>
      </c>
      <c r="Q6" s="3">
        <f t="shared" ref="Q6:Q10" si="0">O6+P6</f>
        <v>625000</v>
      </c>
    </row>
    <row r="7" spans="6:17" x14ac:dyDescent="0.25">
      <c r="F7" s="8" t="s">
        <v>14</v>
      </c>
      <c r="G7" s="3">
        <v>142107.47</v>
      </c>
      <c r="J7" s="8" t="s">
        <v>4</v>
      </c>
      <c r="K7" s="3">
        <v>87620.510000000009</v>
      </c>
      <c r="N7" s="8" t="s">
        <v>4</v>
      </c>
      <c r="O7" s="3">
        <v>87620.510000000009</v>
      </c>
      <c r="P7" s="3">
        <v>437379.49</v>
      </c>
      <c r="Q7" s="3">
        <f t="shared" si="0"/>
        <v>525000</v>
      </c>
    </row>
    <row r="8" spans="6:17" x14ac:dyDescent="0.25">
      <c r="F8" s="8" t="s">
        <v>13</v>
      </c>
      <c r="G8" s="3">
        <v>173779.01</v>
      </c>
      <c r="J8" s="8" t="s">
        <v>9</v>
      </c>
      <c r="K8" s="3">
        <v>137311.09</v>
      </c>
      <c r="N8" s="8" t="s">
        <v>9</v>
      </c>
      <c r="O8" s="3">
        <v>137311.09</v>
      </c>
      <c r="P8" s="3">
        <v>612688.90999999992</v>
      </c>
      <c r="Q8" s="3">
        <f t="shared" si="0"/>
        <v>749999.99999999988</v>
      </c>
    </row>
    <row r="9" spans="6:17" x14ac:dyDescent="0.25">
      <c r="F9" s="8" t="s">
        <v>12</v>
      </c>
      <c r="G9" s="3">
        <v>186787.40999999997</v>
      </c>
      <c r="J9" s="8" t="s">
        <v>8</v>
      </c>
      <c r="K9" s="3">
        <v>140912.29000000004</v>
      </c>
      <c r="N9" s="8" t="s">
        <v>8</v>
      </c>
      <c r="O9" s="3">
        <v>140912.29000000004</v>
      </c>
      <c r="P9" s="3">
        <v>484087.71</v>
      </c>
      <c r="Q9" s="3">
        <f t="shared" si="0"/>
        <v>625000</v>
      </c>
    </row>
    <row r="10" spans="6:17" x14ac:dyDescent="0.25">
      <c r="J10" s="8" t="s">
        <v>7</v>
      </c>
      <c r="K10" s="3">
        <v>154642.03999999998</v>
      </c>
      <c r="N10" s="8" t="s">
        <v>7</v>
      </c>
      <c r="O10" s="3">
        <v>154642.03999999998</v>
      </c>
      <c r="P10" s="3">
        <v>595357.96</v>
      </c>
      <c r="Q10" s="3">
        <f t="shared" si="0"/>
        <v>750000</v>
      </c>
    </row>
    <row r="13" spans="6:17" x14ac:dyDescent="0.25">
      <c r="J13" s="7" t="s">
        <v>1</v>
      </c>
      <c r="K13" t="s">
        <v>24</v>
      </c>
    </row>
    <row r="14" spans="6:17" x14ac:dyDescent="0.25">
      <c r="J14" s="8" t="s">
        <v>5</v>
      </c>
      <c r="K14" s="4">
        <v>19</v>
      </c>
    </row>
    <row r="15" spans="6:17" x14ac:dyDescent="0.25">
      <c r="J15" s="8" t="s">
        <v>6</v>
      </c>
      <c r="K15" s="4">
        <v>25</v>
      </c>
    </row>
    <row r="16" spans="6:17" x14ac:dyDescent="0.25">
      <c r="J16" s="8" t="s">
        <v>4</v>
      </c>
      <c r="K16" s="4">
        <v>21</v>
      </c>
    </row>
    <row r="17" spans="7:11" x14ac:dyDescent="0.25">
      <c r="J17" s="8" t="s">
        <v>9</v>
      </c>
      <c r="K17" s="4">
        <v>30</v>
      </c>
    </row>
    <row r="18" spans="7:11" x14ac:dyDescent="0.25">
      <c r="J18" s="8" t="s">
        <v>8</v>
      </c>
      <c r="K18" s="4">
        <v>25</v>
      </c>
    </row>
    <row r="19" spans="7:11" x14ac:dyDescent="0.25">
      <c r="G19" s="7" t="s">
        <v>1</v>
      </c>
      <c r="H19" t="s">
        <v>22</v>
      </c>
      <c r="J19" s="8" t="s">
        <v>7</v>
      </c>
      <c r="K19" s="4">
        <v>30</v>
      </c>
    </row>
    <row r="20" spans="7:11" x14ac:dyDescent="0.25">
      <c r="G20" s="8" t="s">
        <v>9</v>
      </c>
      <c r="H20" s="3">
        <v>137311.09</v>
      </c>
    </row>
    <row r="21" spans="7:11" x14ac:dyDescent="0.25">
      <c r="G21" s="8" t="s">
        <v>8</v>
      </c>
      <c r="H21" s="3">
        <v>140912.29000000004</v>
      </c>
    </row>
    <row r="22" spans="7:11" x14ac:dyDescent="0.25">
      <c r="G22" s="8" t="s">
        <v>7</v>
      </c>
      <c r="H22" s="3">
        <v>154642.03999999998</v>
      </c>
    </row>
  </sheetData>
  <pageMargins left="0.511811024" right="0.511811024" top="0.78740157499999996" bottom="0.78740157499999996" header="0.31496062000000002" footer="0.31496062000000002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0188B-8144-4342-9027-676B14FD68ED}">
  <sheetPr codeName="Planilha5"/>
  <dimension ref="A1:Z32"/>
  <sheetViews>
    <sheetView showGridLines="0" tabSelected="1" topLeftCell="B1" zoomScale="120" zoomScaleNormal="120" workbookViewId="0">
      <selection activeCell="F38" sqref="F38"/>
    </sheetView>
  </sheetViews>
  <sheetFormatPr defaultRowHeight="15" x14ac:dyDescent="0.25"/>
  <sheetData>
    <row r="1" spans="1:26" x14ac:dyDescent="0.25"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x14ac:dyDescent="0.25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x14ac:dyDescent="0.25"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Capa</vt:lpstr>
      <vt:lpstr>Base</vt:lpstr>
      <vt:lpstr>Cadastro</vt:lpstr>
      <vt:lpstr>Calculos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Rodrigues</dc:creator>
  <cp:lastModifiedBy>Marcelo Rodrigues</cp:lastModifiedBy>
  <dcterms:created xsi:type="dcterms:W3CDTF">2025-07-30T11:31:35Z</dcterms:created>
  <dcterms:modified xsi:type="dcterms:W3CDTF">2025-07-30T16:59:40Z</dcterms:modified>
</cp:coreProperties>
</file>